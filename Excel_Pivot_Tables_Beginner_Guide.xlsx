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$#,##0"/>
    <numFmt numFmtId="167" formatCode="$#,##0.00"/>
  </numFmts>
  <fonts count="13">
    <font>
      <name val="Calibri"/>
      <family val="2"/>
      <color theme="1"/>
      <sz val="11"/>
      <scheme val="minor"/>
    </font>
    <font>
      <name val="Calibri"/>
      <b val="1"/>
      <color rgb="00C00000"/>
      <sz val="14"/>
    </font>
    <font>
      <name val="Calibri"/>
      <i val="1"/>
      <color rgb="00666666"/>
      <sz val="11"/>
    </font>
    <font>
      <name val="Calibri"/>
      <b val="1"/>
      <color rgb="00C00000"/>
      <sz val="11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0"/>
    </font>
    <font>
      <b val="1"/>
      <sz val="10"/>
    </font>
    <font>
      <name val="Calibri"/>
      <b val="1"/>
      <color rgb="00FFFFFF"/>
      <sz val="12"/>
    </font>
    <font>
      <b val="1"/>
    </font>
    <font>
      <i val="1"/>
      <color rgb="000070C0"/>
      <sz val="9"/>
    </font>
    <font>
      <name val="Courier New"/>
      <color rgb="00C00000"/>
      <sz val="9"/>
    </font>
    <font>
      <b val="1"/>
      <color rgb="00C00000"/>
    </font>
  </fonts>
  <fills count="9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3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0" fillId="0" borderId="0" pivotButton="0" quotePrefix="0" xfId="0"/>
    <xf numFmtId="0" fontId="9" fillId="0" borderId="0" pivotButton="0" quotePrefix="0" xfId="0"/>
    <xf numFmtId="166" fontId="9" fillId="0" borderId="0" pivotButton="0" quotePrefix="0" xfId="0"/>
    <xf numFmtId="0" fontId="10" fillId="0" borderId="0" pivotButton="0" quotePrefix="0" xfId="0"/>
    <xf numFmtId="167" fontId="0" fillId="0" borderId="1" pivotButton="0" quotePrefix="0" xfId="0"/>
    <xf numFmtId="0" fontId="3" fillId="6" borderId="0" pivotButton="0" quotePrefix="0" xfId="0"/>
    <xf numFmtId="0" fontId="11" fillId="7" borderId="0" applyAlignment="1" pivotButton="0" quotePrefix="0" xfId="0">
      <alignment wrapText="1"/>
    </xf>
    <xf numFmtId="0" fontId="0" fillId="8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PIVOT TABLES &amp; DATA SUMMARIZATION</t>
        </is>
      </c>
    </row>
    <row r="2">
      <c r="A2" s="2" t="inlineStr">
        <is>
          <t>Master Pivot Tables: Summarize, Group, &amp; Analyze Large Datasets</t>
        </is>
      </c>
    </row>
    <row r="4">
      <c r="A4" s="3" t="inlineStr">
        <is>
          <t>LEARNING OBJECTIVES</t>
        </is>
      </c>
    </row>
    <row r="5">
      <c r="A5" s="4" t="inlineStr">
        <is>
          <t>✓ Understand pivot table structure (rows, columns, values, filters)</t>
        </is>
      </c>
    </row>
    <row r="6">
      <c r="A6" s="4" t="inlineStr">
        <is>
          <t>✓ Create pivot tables from raw transaction data</t>
        </is>
      </c>
    </row>
    <row r="7">
      <c r="A7" s="4" t="inlineStr">
        <is>
          <t>✓ Use fields to organize data by categories and time periods</t>
        </is>
      </c>
    </row>
    <row r="8">
      <c r="A8" s="4" t="inlineStr">
        <is>
          <t>✓ Apply aggregation functions (SUM, COUNT, AVERAGE, MAX, MIN)</t>
        </is>
      </c>
    </row>
    <row r="9">
      <c r="A9" s="4" t="inlineStr">
        <is>
          <t>✓ Filter and slice pivot tables for deeper analysis</t>
        </is>
      </c>
    </row>
    <row r="10">
      <c r="A10" s="4" t="inlineStr">
        <is>
          <t>✓ Group data by date ranges (daily, monthly, quarterly, yearly)</t>
        </is>
      </c>
    </row>
    <row r="11">
      <c r="A11" s="4" t="inlineStr">
        <is>
          <t>✓ Create pivot charts for visual analysis</t>
        </is>
      </c>
    </row>
    <row r="12">
      <c r="A12" s="4" t="inlineStr">
        <is>
          <t>✓ Refresh pivot tables when source data changes</t>
        </is>
      </c>
    </row>
    <row r="14">
      <c r="A14" s="3" t="inlineStr">
        <is>
          <t>PIVOT TABLE STRUCTURE &amp; COMPONENTS</t>
        </is>
      </c>
    </row>
    <row r="15">
      <c r="A15" s="5" t="inlineStr">
        <is>
          <t>Component</t>
        </is>
      </c>
      <c r="B15" s="5" t="inlineStr">
        <is>
          <t>Purpose</t>
        </is>
      </c>
      <c r="C15" s="5" t="inlineStr">
        <is>
          <t>Example</t>
        </is>
      </c>
      <c r="D15" s="5" t="inlineStr">
        <is>
          <t>Function</t>
        </is>
      </c>
    </row>
    <row r="16">
      <c r="A16" s="5" t="inlineStr">
        <is>
          <t>Row Labels</t>
        </is>
      </c>
      <c r="B16" s="5" t="inlineStr">
        <is>
          <t>Categories shown as rows</t>
        </is>
      </c>
      <c r="C16" s="5" t="inlineStr">
        <is>
          <t>Product, Region, Month</t>
        </is>
      </c>
      <c r="D16" s="5" t="inlineStr">
        <is>
          <t>Group &amp; organize data</t>
        </is>
      </c>
    </row>
    <row r="17">
      <c r="A17" s="5" t="inlineStr">
        <is>
          <t>Column Labels</t>
        </is>
      </c>
      <c r="B17" s="5" t="inlineStr">
        <is>
          <t>Categories shown as columns</t>
        </is>
      </c>
      <c r="C17" s="5" t="inlineStr">
        <is>
          <t>Year, Sales Status</t>
        </is>
      </c>
      <c r="D17" s="5" t="inlineStr">
        <is>
          <t>Cross-tabulate by dimension</t>
        </is>
      </c>
    </row>
    <row r="18">
      <c r="A18" s="5" t="inlineStr">
        <is>
          <t>Values</t>
        </is>
      </c>
      <c r="B18" s="5" t="inlineStr">
        <is>
          <t>Data aggregated in cells</t>
        </is>
      </c>
      <c r="C18" s="5" t="inlineStr">
        <is>
          <t>SUM(Sales), COUNT(Orders)</t>
        </is>
      </c>
      <c r="D18" s="5" t="inlineStr">
        <is>
          <t>Summarize metrics</t>
        </is>
      </c>
    </row>
    <row r="19">
      <c r="A19" s="5" t="inlineStr">
        <is>
          <t>Filters</t>
        </is>
      </c>
      <c r="B19" s="5" t="inlineStr">
        <is>
          <t>Restrict data shown</t>
        </is>
      </c>
      <c r="C19" s="5" t="inlineStr">
        <is>
          <t>Year=2024, Region=USA</t>
        </is>
      </c>
      <c r="D19" s="5" t="inlineStr">
        <is>
          <t>Focus on subsets</t>
        </is>
      </c>
    </row>
    <row r="20">
      <c r="A20" s="5" t="inlineStr">
        <is>
          <t>Data Source</t>
        </is>
      </c>
      <c r="B20" s="5" t="inlineStr">
        <is>
          <t>Original data range</t>
        </is>
      </c>
      <c r="C20" s="5" t="inlineStr">
        <is>
          <t>A1:E1000 transaction table</t>
        </is>
      </c>
      <c r="D20" s="5" t="inlineStr">
        <is>
          <t>Foundation for pivot</t>
        </is>
      </c>
    </row>
    <row r="22">
      <c r="A22" s="3" t="inlineStr">
        <is>
          <t>KEY CONCEPTS FOR PIVOT TABLES</t>
        </is>
      </c>
    </row>
    <row r="23">
      <c r="A23" s="6" t="inlineStr">
        <is>
          <t>SUMMARIZE 1000s OF ROWS</t>
        </is>
      </c>
    </row>
    <row r="24" ht="25" customHeight="1">
      <c r="A24" s="7" t="inlineStr">
        <is>
          <t>Raw data: 100K transaction rows. Pivot: 10 product × 12 month summary. Instantly understand patterns.</t>
        </is>
      </c>
    </row>
    <row r="25">
      <c r="A25" s="6" t="inlineStr">
        <is>
          <t>ROWS vs COLUMNS</t>
        </is>
      </c>
    </row>
    <row r="26" ht="25" customHeight="1">
      <c r="A26" s="7" t="inlineStr">
        <is>
          <t>Rows: Left side (products, customers, regions). Columns: Top side (time periods, status). Flexible arrangement.</t>
        </is>
      </c>
    </row>
    <row r="27">
      <c r="A27" s="6" t="inlineStr">
        <is>
          <t>AGGREGATION FUNCTION</t>
        </is>
      </c>
    </row>
    <row r="28" ht="25" customHeight="1">
      <c r="A28" s="7" t="inlineStr">
        <is>
          <t>What calculation? SUM for total sales, COUNT for order count, AVERAGE for avg order value, MAX for largest transaction.</t>
        </is>
      </c>
    </row>
    <row r="29">
      <c r="A29" s="6" t="inlineStr">
        <is>
          <t>FILTERS = FOCUS</t>
        </is>
      </c>
    </row>
    <row r="30" ht="25" customHeight="1">
      <c r="A30" s="7" t="inlineStr">
        <is>
          <t>Report all data or just USA? Just 2024? Apply filters to focus analysis on relevant subset.</t>
        </is>
      </c>
    </row>
    <row r="32">
      <c r="A32" s="3" t="inlineStr">
        <is>
          <t>COMMON AGGREGATION FUNCTIONS</t>
        </is>
      </c>
    </row>
    <row r="33">
      <c r="A33" s="5" t="inlineStr">
        <is>
          <t>Function</t>
        </is>
      </c>
      <c r="B33" s="5" t="inlineStr">
        <is>
          <t>Calculation</t>
        </is>
      </c>
      <c r="C33" s="5" t="inlineStr">
        <is>
          <t>Use Case</t>
        </is>
      </c>
    </row>
    <row r="34">
      <c r="A34" s="5" t="inlineStr">
        <is>
          <t>SUM</t>
        </is>
      </c>
      <c r="B34" s="5" t="inlineStr">
        <is>
          <t>Total of all values</t>
        </is>
      </c>
      <c r="C34" s="5" t="inlineStr">
        <is>
          <t>Total sales, total quantity, total cost</t>
        </is>
      </c>
    </row>
    <row r="35">
      <c r="A35" s="5" t="inlineStr">
        <is>
          <t>COUNT</t>
        </is>
      </c>
      <c r="B35" s="5" t="inlineStr">
        <is>
          <t>Number of records</t>
        </is>
      </c>
      <c r="C35" s="5" t="inlineStr">
        <is>
          <t>Order count, transaction count, customer count</t>
        </is>
      </c>
    </row>
    <row r="36">
      <c r="A36" s="5" t="inlineStr">
        <is>
          <t>AVERAGE</t>
        </is>
      </c>
      <c r="B36" s="5" t="inlineStr">
        <is>
          <t>Mean of values</t>
        </is>
      </c>
      <c r="C36" s="5" t="inlineStr">
        <is>
          <t>Avg order value, avg customer spend, avg rating</t>
        </is>
      </c>
    </row>
    <row r="37">
      <c r="A37" s="5" t="inlineStr">
        <is>
          <t>MAX</t>
        </is>
      </c>
      <c r="B37" s="5" t="inlineStr">
        <is>
          <t>Largest value</t>
        </is>
      </c>
      <c r="C37" s="5" t="inlineStr">
        <is>
          <t>Highest sale, most expensive product</t>
        </is>
      </c>
    </row>
    <row r="38">
      <c r="A38" s="5" t="inlineStr">
        <is>
          <t>MIN</t>
        </is>
      </c>
      <c r="B38" s="5" t="inlineStr">
        <is>
          <t>Smallest value</t>
        </is>
      </c>
      <c r="C38" s="5" t="inlineStr">
        <is>
          <t>Lowest price, slowest delivery time</t>
        </is>
      </c>
    </row>
    <row r="39">
      <c r="A39" s="5" t="inlineStr">
        <is>
          <t>STDEV</t>
        </is>
      </c>
      <c r="B39" s="5" t="inlineStr">
        <is>
          <t>Standard deviation</t>
        </is>
      </c>
      <c r="C39" s="5" t="inlineStr">
        <is>
          <t>Variance in sales, consistency measure</t>
        </is>
      </c>
    </row>
    <row r="41">
      <c r="A41" s="3" t="inlineStr">
        <is>
          <t>BEST PRACTICES FOR PIVOT TABLES</t>
        </is>
      </c>
    </row>
    <row r="42">
      <c r="A42" s="4" t="inlineStr">
        <is>
          <t>🔹 Start with CLEAN data. Pivot tables amplify garbage data. Clean first, pivot second.</t>
        </is>
      </c>
    </row>
    <row r="43">
      <c r="A43" s="4" t="inlineStr">
        <is>
          <t>🔹 Use consistent column headers. 'Date', 'date', 'DATE' confuse pivot tables. Standardize names.</t>
        </is>
      </c>
    </row>
    <row r="44">
      <c r="A44" s="4" t="inlineStr">
        <is>
          <t>🔹 Arrange rows/columns for readability. Time in columns (months left-to-right), products in rows (top-to-bottom).</t>
        </is>
      </c>
    </row>
    <row r="45">
      <c r="A45" s="4" t="inlineStr">
        <is>
          <t>🔹 Choose right aggregation. SUM for totals, COUNT for frequency, AVERAGE for rates. Wrong function = wrong answer.</t>
        </is>
      </c>
    </row>
    <row r="46">
      <c r="A46" s="4" t="inlineStr">
        <is>
          <t>🔹 Update source data? Right-click pivot table &gt; Refresh. Or set auto-refresh in pivot table options.</t>
        </is>
      </c>
    </row>
    <row r="48">
      <c r="A48" s="8" t="inlineStr">
        <is>
          <t>COMMON PIVOT TABLE MISTAKES</t>
        </is>
      </c>
    </row>
    <row r="49">
      <c r="A49" s="4" t="inlineStr">
        <is>
          <t>❌ Missing data in pivot: Source range too small (A1:D50, but data goes to row 200). Reselect entire range, rebuild pivot.</t>
        </is>
      </c>
    </row>
    <row r="50">
      <c r="A50" s="4" t="inlineStr">
        <is>
          <t>❌ Duplicated totals: Forgot to remove row/column subtotals. Appears in data = double-counted. Check Data &gt; Subtotals.</t>
        </is>
      </c>
    </row>
    <row r="51">
      <c r="A51" s="4" t="inlineStr">
        <is>
          <t>❌ Wrong aggregation: Summed what should be averaged. 10 orders × $100 avg = $1000 total, NOT $1000 average. Check function.</t>
        </is>
      </c>
    </row>
    <row r="52">
      <c r="A52" s="4" t="inlineStr">
        <is>
          <t>❌ Not refreshing: Changed source data, pivot doesn't update. Right-click &gt; Refresh to sync.</t>
        </is>
      </c>
    </row>
    <row r="53">
      <c r="A53" s="4" t="inlineStr">
        <is>
          <t>❌ Pivot date grouping: Dates as text, not actual date values. Use DATEVALUE to convert, then try grouping.</t>
        </is>
      </c>
    </row>
  </sheetData>
  <mergeCells count="34">
    <mergeCell ref="A41:F41"/>
    <mergeCell ref="A46:F46"/>
    <mergeCell ref="A27:F27"/>
    <mergeCell ref="A12:F12"/>
    <mergeCell ref="A50:F50"/>
    <mergeCell ref="A26:F26"/>
    <mergeCell ref="A2:F2"/>
    <mergeCell ref="A42:F42"/>
    <mergeCell ref="A14:F14"/>
    <mergeCell ref="A5:F5"/>
    <mergeCell ref="A23:F23"/>
    <mergeCell ref="A32:F32"/>
    <mergeCell ref="A8:F8"/>
    <mergeCell ref="A22:F22"/>
    <mergeCell ref="A4:F4"/>
    <mergeCell ref="A53:F53"/>
    <mergeCell ref="A29:F29"/>
    <mergeCell ref="A43:F43"/>
    <mergeCell ref="A52:F52"/>
    <mergeCell ref="A10:F10"/>
    <mergeCell ref="A28:F28"/>
    <mergeCell ref="A44:F44"/>
    <mergeCell ref="A9:F9"/>
    <mergeCell ref="A48:F48"/>
    <mergeCell ref="A30:F30"/>
    <mergeCell ref="A24:F24"/>
    <mergeCell ref="A11:F11"/>
    <mergeCell ref="A49:F49"/>
    <mergeCell ref="A51:F51"/>
    <mergeCell ref="A1:F1"/>
    <mergeCell ref="A45:F45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10 REAL-WORLD PIVOT TABLE PRACTICE EXERCISES</t>
        </is>
      </c>
    </row>
    <row r="3">
      <c r="A3" s="9" t="inlineStr">
        <is>
          <t>EXERCISE 1: Basic Pivot - Sales by Product</t>
        </is>
      </c>
    </row>
    <row r="4">
      <c r="A4" s="10" t="inlineStr">
        <is>
          <t>Task: Create pivot table from transaction data. Rows=Product, Values=SUM(Sales). Answer: Which product has highest sales?</t>
        </is>
      </c>
    </row>
    <row r="6">
      <c r="A6" s="11" t="inlineStr">
        <is>
          <t>SOURCE DATA:</t>
        </is>
      </c>
    </row>
    <row r="7">
      <c r="A7" s="12" t="inlineStr">
        <is>
          <t>Transaction ID</t>
        </is>
      </c>
      <c r="B7" s="12" t="inlineStr">
        <is>
          <t>Date</t>
        </is>
      </c>
      <c r="C7" s="12" t="inlineStr">
        <is>
          <t>Product</t>
        </is>
      </c>
      <c r="D7" s="12" t="inlineStr">
        <is>
          <t>Region</t>
        </is>
      </c>
      <c r="E7" s="12" t="inlineStr">
        <is>
          <t>Sales</t>
        </is>
      </c>
    </row>
    <row r="8">
      <c r="A8" s="13" t="n">
        <v>1</v>
      </c>
      <c r="B8" s="14" t="n">
        <v>45306</v>
      </c>
      <c r="C8" s="13" t="inlineStr">
        <is>
          <t>Laptop</t>
        </is>
      </c>
      <c r="D8" s="13" t="inlineStr">
        <is>
          <t>USA</t>
        </is>
      </c>
      <c r="E8" s="15" t="n">
        <v>1200</v>
      </c>
    </row>
    <row r="9">
      <c r="A9" s="13" t="n">
        <v>2</v>
      </c>
      <c r="B9" s="14" t="n">
        <v>45307</v>
      </c>
      <c r="C9" s="13" t="inlineStr">
        <is>
          <t>Mouse</t>
        </is>
      </c>
      <c r="D9" s="13" t="inlineStr">
        <is>
          <t>USA</t>
        </is>
      </c>
      <c r="E9" s="15" t="n">
        <v>35</v>
      </c>
    </row>
    <row r="10">
      <c r="A10" s="13" t="n">
        <v>3</v>
      </c>
      <c r="B10" s="14" t="n">
        <v>45308</v>
      </c>
      <c r="C10" s="13" t="inlineStr">
        <is>
          <t>Laptop</t>
        </is>
      </c>
      <c r="D10" s="13" t="inlineStr">
        <is>
          <t>Europe</t>
        </is>
      </c>
      <c r="E10" s="15" t="n">
        <v>1150</v>
      </c>
    </row>
    <row r="11">
      <c r="A11" s="13" t="n">
        <v>4</v>
      </c>
      <c r="B11" s="14" t="n">
        <v>45309</v>
      </c>
      <c r="C11" s="13" t="inlineStr">
        <is>
          <t>Monitor</t>
        </is>
      </c>
      <c r="D11" s="13" t="inlineStr">
        <is>
          <t>USA</t>
        </is>
      </c>
      <c r="E11" s="15" t="n">
        <v>400</v>
      </c>
    </row>
    <row r="12">
      <c r="A12" s="13" t="n">
        <v>5</v>
      </c>
      <c r="B12" s="14" t="n">
        <v>45310</v>
      </c>
      <c r="C12" s="13" t="inlineStr">
        <is>
          <t>Laptop</t>
        </is>
      </c>
      <c r="D12" s="13" t="inlineStr">
        <is>
          <t>Asia</t>
        </is>
      </c>
      <c r="E12" s="15" t="n">
        <v>1100</v>
      </c>
    </row>
    <row r="13">
      <c r="A13" s="13" t="n">
        <v>6</v>
      </c>
      <c r="B13" s="14" t="n">
        <v>45311</v>
      </c>
      <c r="C13" s="13" t="inlineStr">
        <is>
          <t>Mouse</t>
        </is>
      </c>
      <c r="D13" s="13" t="inlineStr">
        <is>
          <t>Europe</t>
        </is>
      </c>
      <c r="E13" s="15" t="n">
        <v>32</v>
      </c>
    </row>
    <row r="16">
      <c r="A16" s="11" t="inlineStr">
        <is>
          <t>PIVOT TABLE TO CREATE:</t>
        </is>
      </c>
    </row>
    <row r="17">
      <c r="A17" s="12" t="inlineStr">
        <is>
          <t>Row Labels</t>
        </is>
      </c>
      <c r="B17" s="12" t="inlineStr">
        <is>
          <t>Total Sales</t>
        </is>
      </c>
    </row>
    <row r="18">
      <c r="A18" t="inlineStr">
        <is>
          <t>Laptop</t>
        </is>
      </c>
      <c r="B18" s="16">
        <f>SUMIF($C$:$C$,A{row},$E$:$E$)</f>
        <v/>
      </c>
    </row>
    <row r="19">
      <c r="A19" t="inlineStr">
        <is>
          <t>Mouse</t>
        </is>
      </c>
      <c r="B19" s="16">
        <f>SUMIF($C$:$C$,A{row},$E$:$E$)</f>
        <v/>
      </c>
    </row>
    <row r="20">
      <c r="A20" t="inlineStr">
        <is>
          <t>Monitor</t>
        </is>
      </c>
      <c r="B20" s="16">
        <f>SUMIF($C$:$C$,A{row},$E$:$E$)</f>
        <v/>
      </c>
    </row>
    <row r="21">
      <c r="A21" s="17" t="inlineStr">
        <is>
          <t>Grand Total</t>
        </is>
      </c>
      <c r="B21" s="18">
        <f>SUM(B{row-3}:B{row-1})</f>
        <v/>
      </c>
    </row>
    <row r="23">
      <c r="A23" s="19" t="inlineStr">
        <is>
          <t>💡 HINT: Insert &gt; Pivot Table (or manual with SUMIF). Rows=Product, Values=SUM(Sales). Laptop $3450, Mouse $67, Monitor $400.</t>
        </is>
      </c>
    </row>
    <row r="25">
      <c r="A25" s="9" t="inlineStr">
        <is>
          <t>EXERCISE 2: Two-Dimensional Pivot - Sales by Product x Region</t>
        </is>
      </c>
    </row>
    <row r="26">
      <c r="A26" s="10" t="inlineStr">
        <is>
          <t>Task: Create cross-tabulation. Rows=Product, Columns=Region, Values=SUM(Sales). Answer: Laptop sales by region?</t>
        </is>
      </c>
    </row>
    <row r="28">
      <c r="A28" s="11" t="inlineStr">
        <is>
          <t>PIVOT TABLE LAYOUT:</t>
        </is>
      </c>
    </row>
    <row r="29">
      <c r="A29" s="12" t="inlineStr">
        <is>
          <t>Product</t>
        </is>
      </c>
      <c r="B29" s="12" t="inlineStr">
        <is>
          <t>USA</t>
        </is>
      </c>
      <c r="C29" s="12" t="inlineStr">
        <is>
          <t>Europe</t>
        </is>
      </c>
      <c r="D29" s="12" t="inlineStr">
        <is>
          <t>Asia</t>
        </is>
      </c>
      <c r="E29" s="12" t="inlineStr">
        <is>
          <t>Total</t>
        </is>
      </c>
    </row>
    <row r="30">
      <c r="A30" s="13" t="inlineStr">
        <is>
          <t>Laptop</t>
        </is>
      </c>
      <c r="B30" s="15">
        <f>SUMIFS($E$:$E$,$C$:$C$,A30,$D$:$D$,"USA")</f>
        <v/>
      </c>
      <c r="C30" s="15">
        <f>SUMIFS($E$:$E$,$C$:$C$,A30,$D$:$D$,"Europe")</f>
        <v/>
      </c>
      <c r="D30" s="15">
        <f>SUMIFS($E$:$E$,$C$:$C$,A30,$D$:$D$,"Asia")</f>
        <v/>
      </c>
      <c r="E30" s="15">
        <f>SUM(B30:D30)</f>
        <v/>
      </c>
    </row>
    <row r="31">
      <c r="A31" s="13" t="inlineStr">
        <is>
          <t>Mouse</t>
        </is>
      </c>
      <c r="B31" s="15">
        <f>SUMIFS($E$:$E$,$C$:$C$,A31,$D$:$D$,"USA")</f>
        <v/>
      </c>
      <c r="C31" s="15">
        <f>SUMIFS($E$:$E$,$C$:$C$,A31,$D$:$D$,"Europe")</f>
        <v/>
      </c>
      <c r="D31" s="15">
        <f>SUMIFS($E$:$E$,$C$:$C$,A31,$D$:$D$,"Asia")</f>
        <v/>
      </c>
      <c r="E31" s="15">
        <f>SUM(B31:D31)</f>
        <v/>
      </c>
    </row>
    <row r="32">
      <c r="A32" s="13" t="inlineStr">
        <is>
          <t>Monitor</t>
        </is>
      </c>
      <c r="B32" s="15">
        <f>SUMIFS($E$:$E$,$C$:$C$,A32,$D$:$D$,"USA")</f>
        <v/>
      </c>
      <c r="C32" s="15">
        <f>SUMIFS($E$:$E$,$C$:$C$,A32,$D$:$D$,"Europe")</f>
        <v/>
      </c>
      <c r="D32" s="15">
        <f>SUMIFS($E$:$E$,$C$:$C$,A32,$D$:$D$,"Asia")</f>
        <v/>
      </c>
      <c r="E32" s="15">
        <f>SUM(B32:D32)</f>
        <v/>
      </c>
    </row>
    <row r="35">
      <c r="A35" s="19" t="inlineStr">
        <is>
          <t>💡 HINT: SUMIFS sums with multiple criteria (product AND region). Or use Data &gt; Pivot Table with Rows=Product, Columns=Region.</t>
        </is>
      </c>
    </row>
    <row r="37">
      <c r="A37" s="9" t="inlineStr">
        <is>
          <t>EXERCISE 3: Time-Based Pivot - Sales by Month</t>
        </is>
      </c>
    </row>
    <row r="38">
      <c r="A38" s="10" t="inlineStr">
        <is>
          <t>Task: Group transactions by month. Rows=Month, Values=SUM(Sales). See sales trends over time.</t>
        </is>
      </c>
    </row>
    <row r="40">
      <c r="A40" s="11" t="inlineStr">
        <is>
          <t>MONTHLY SUMMARY:</t>
        </is>
      </c>
    </row>
    <row r="41">
      <c r="A41" s="12" t="inlineStr">
        <is>
          <t>Month</t>
        </is>
      </c>
      <c r="B41" s="12" t="inlineStr">
        <is>
          <t>Sales</t>
        </is>
      </c>
      <c r="C41" s="12" t="inlineStr">
        <is>
          <t>Order Count</t>
        </is>
      </c>
    </row>
    <row r="42">
      <c r="A42" s="13" t="inlineStr">
        <is>
          <t>January</t>
        </is>
      </c>
      <c r="B42" s="15">
        <f>SUMIFS($E$data:$E$,MONTH($B$data:$B$),...)</f>
        <v/>
      </c>
      <c r="C42" s="13">
        <f>COUNTIFS(MONTH($B$data:$B$),...)</f>
        <v/>
      </c>
    </row>
    <row r="43">
      <c r="A43" s="13" t="inlineStr">
        <is>
          <t>February</t>
        </is>
      </c>
      <c r="B43" s="15">
        <f>SUMIFS($E$data:$E$,MONTH($B$data:$B$),...)</f>
        <v/>
      </c>
      <c r="C43" s="13">
        <f>COUNTIFS(MONTH($B$data:$B$),...)</f>
        <v/>
      </c>
    </row>
    <row r="44">
      <c r="A44" s="13" t="inlineStr">
        <is>
          <t>March</t>
        </is>
      </c>
      <c r="B44" s="15">
        <f>SUMIFS($E$data:$E$,MONTH($B$data:$B$),...)</f>
        <v/>
      </c>
      <c r="C44" s="13">
        <f>COUNTIFS(MONTH($B$data:$B$),...)</f>
        <v/>
      </c>
    </row>
    <row r="47">
      <c r="A47" s="19" t="inlineStr">
        <is>
          <t>💡 HINT: Use Insert &gt; Pivot Table, select Date field, right-click &gt; Group &gt; by Month. Or use MONTH() + SUMIF for manual approach.</t>
        </is>
      </c>
    </row>
    <row r="49">
      <c r="A49" s="9" t="inlineStr">
        <is>
          <t>EXERCISE 4: Count Aggregation - Order Count by Product</t>
        </is>
      </c>
    </row>
    <row r="50">
      <c r="A50" s="10" t="inlineStr">
        <is>
          <t>Task: Count transactions (not sum). Rows=Product, Values=COUNT(Transactions). How many orders per product?</t>
        </is>
      </c>
    </row>
    <row r="52">
      <c r="A52" s="12" t="inlineStr">
        <is>
          <t>Product</t>
        </is>
      </c>
      <c r="B52" s="12" t="inlineStr">
        <is>
          <t>Order Count</t>
        </is>
      </c>
      <c r="C52" s="12" t="inlineStr">
        <is>
          <t>Total Sales</t>
        </is>
      </c>
      <c r="D52" s="12" t="inlineStr">
        <is>
          <t>Avg per Order</t>
        </is>
      </c>
    </row>
    <row r="53">
      <c r="A53" s="13" t="inlineStr">
        <is>
          <t>Laptop</t>
        </is>
      </c>
      <c r="B53" s="13">
        <f>COUNTIF($C$data:$C$,A53)</f>
        <v/>
      </c>
      <c r="C53" s="15">
        <f>SUMIF($C$data:$C$,A53,$E$data:$E$)</f>
        <v/>
      </c>
      <c r="D53" s="20">
        <f>C53/B53</f>
        <v/>
      </c>
    </row>
    <row r="54">
      <c r="A54" s="13" t="inlineStr">
        <is>
          <t>Mouse</t>
        </is>
      </c>
      <c r="B54" s="13">
        <f>COUNTIF($C$data:$C$,A54)</f>
        <v/>
      </c>
      <c r="C54" s="15">
        <f>SUMIF($C$data:$C$,A54,$E$data:$E$)</f>
        <v/>
      </c>
      <c r="D54" s="20">
        <f>C54/B54</f>
        <v/>
      </c>
    </row>
    <row r="55">
      <c r="A55" s="13" t="inlineStr">
        <is>
          <t>Monitor</t>
        </is>
      </c>
      <c r="B55" s="13">
        <f>COUNTIF($C$data:$C$,A55)</f>
        <v/>
      </c>
      <c r="C55" s="15">
        <f>SUMIF($C$data:$C$,A55,$E$data:$E$)</f>
        <v/>
      </c>
      <c r="D55" s="20">
        <f>C55/B55</f>
        <v/>
      </c>
    </row>
    <row r="58">
      <c r="A58" s="19" t="inlineStr">
        <is>
          <t>💡 HINT: Use COUNT aggregation to count records. COUNTIF for manual, or Pivot Table with COUNT function selected.</t>
        </is>
      </c>
    </row>
    <row r="60">
      <c r="A60" s="9" t="inlineStr">
        <is>
          <t>EXERCISE 5: Average Aggregation - Avg Order Value by Region</t>
        </is>
      </c>
    </row>
    <row r="61">
      <c r="A61" s="10" t="inlineStr">
        <is>
          <t>Task: Calculate average (not sum). Rows=Region, Values=AVERAGE(Sales). Which region has highest avg order value?</t>
        </is>
      </c>
    </row>
    <row r="63">
      <c r="A63" s="12" t="inlineStr">
        <is>
          <t>Region</t>
        </is>
      </c>
      <c r="B63" s="12" t="inlineStr">
        <is>
          <t>Avg Sales</t>
        </is>
      </c>
      <c r="C63" s="12" t="inlineStr">
        <is>
          <t>Order Count</t>
        </is>
      </c>
      <c r="D63" s="12" t="inlineStr">
        <is>
          <t>Total Sales</t>
        </is>
      </c>
    </row>
    <row r="64">
      <c r="A64" s="13" t="inlineStr">
        <is>
          <t>USA</t>
        </is>
      </c>
      <c r="B64" s="20">
        <f>AVERAGEIF($D$data:$D$,A64,$E$data:$E$)</f>
        <v/>
      </c>
      <c r="C64" s="13">
        <f>COUNTIF($D$data:$D$,A64)</f>
        <v/>
      </c>
      <c r="D64" s="15">
        <f>SUMIF($D$data:$D$,A64,$E$data:$E$)</f>
        <v/>
      </c>
    </row>
    <row r="65">
      <c r="A65" s="13" t="inlineStr">
        <is>
          <t>Europe</t>
        </is>
      </c>
      <c r="B65" s="20">
        <f>AVERAGEIF($D$data:$D$,A65,$E$data:$E$)</f>
        <v/>
      </c>
      <c r="C65" s="13">
        <f>COUNTIF($D$data:$D$,A65)</f>
        <v/>
      </c>
      <c r="D65" s="15">
        <f>SUMIF($D$data:$D$,A65,$E$data:$E$)</f>
        <v/>
      </c>
    </row>
    <row r="66">
      <c r="A66" s="13" t="inlineStr">
        <is>
          <t>Asia</t>
        </is>
      </c>
      <c r="B66" s="20">
        <f>AVERAGEIF($D$data:$D$,A66,$E$data:$E$)</f>
        <v/>
      </c>
      <c r="C66" s="13">
        <f>COUNTIF($D$data:$D$,A66)</f>
        <v/>
      </c>
      <c r="D66" s="15">
        <f>SUMIF($D$data:$D$,A66,$E$data:$E$)</f>
        <v/>
      </c>
    </row>
    <row r="69">
      <c r="A69" s="19" t="inlineStr">
        <is>
          <t>💡 HINT: AVERAGEIF for manual approach. Pivot Table with AVERAGE function. Understand: Average ≠ Total/Count always (may differ due to filtering).</t>
        </is>
      </c>
    </row>
    <row r="71">
      <c r="A71" s="9" t="inlineStr">
        <is>
          <t>EXERCISE 6: Multiple Aggregations - SUM + COUNT + AVERAGE</t>
        </is>
      </c>
    </row>
    <row r="72">
      <c r="A72" s="10" t="inlineStr">
        <is>
          <t>Task: Show multiple metrics. Rows=Product, Values=SUM(Sales), COUNT(Orders), AVERAGE(Order Value). Comprehensive product analysis.</t>
        </is>
      </c>
    </row>
    <row r="74">
      <c r="A74" s="12" t="inlineStr">
        <is>
          <t>Product</t>
        </is>
      </c>
      <c r="B74" s="12" t="inlineStr">
        <is>
          <t>Total Sales</t>
        </is>
      </c>
      <c r="C74" s="12" t="inlineStr">
        <is>
          <t>Order Count</t>
        </is>
      </c>
      <c r="D74" s="12" t="inlineStr">
        <is>
          <t>Avg Order Value</t>
        </is>
      </c>
    </row>
    <row r="75">
      <c r="A75" s="13" t="inlineStr">
        <is>
          <t>Laptop</t>
        </is>
      </c>
      <c r="B75" s="15">
        <f>SUMIF($C$data:$C$,A75,$E$data:$E$)</f>
        <v/>
      </c>
      <c r="C75" s="13">
        <f>COUNTIF($C$data:$C$,A75)</f>
        <v/>
      </c>
      <c r="D75" s="20">
        <f>B75/C75</f>
        <v/>
      </c>
    </row>
    <row r="76">
      <c r="A76" s="13" t="inlineStr">
        <is>
          <t>Mouse</t>
        </is>
      </c>
      <c r="B76" s="15">
        <f>SUMIF($C$data:$C$,A76,$E$data:$E$)</f>
        <v/>
      </c>
      <c r="C76" s="13">
        <f>COUNTIF($C$data:$C$,A76)</f>
        <v/>
      </c>
      <c r="D76" s="20">
        <f>B76/C76</f>
        <v/>
      </c>
    </row>
    <row r="77">
      <c r="A77" s="13" t="inlineStr">
        <is>
          <t>Monitor</t>
        </is>
      </c>
      <c r="B77" s="15">
        <f>SUMIF($C$data:$C$,A77,$E$data:$E$)</f>
        <v/>
      </c>
      <c r="C77" s="13">
        <f>COUNTIF($C$data:$C$,A77)</f>
        <v/>
      </c>
      <c r="D77" s="20">
        <f>B77/C77</f>
        <v/>
      </c>
    </row>
    <row r="80">
      <c r="A80" s="19" t="inlineStr">
        <is>
          <t>💡 HINT: Pivot Table can show multiple value fields. Add Sales field twice: once as SUM, once as AVERAGE. Or calculate manually with formulas.</t>
        </is>
      </c>
    </row>
    <row r="82">
      <c r="A82" s="9" t="inlineStr">
        <is>
          <t>EXERCISE 7: Pivot Filtering - Exclude Products Below Threshold</t>
        </is>
      </c>
    </row>
    <row r="83">
      <c r="A83" s="10" t="inlineStr">
        <is>
          <t>Task: Show only products with sales &gt; $1000. Use pivot filters (uncheck low-sales items) or manual IF statement.</t>
        </is>
      </c>
    </row>
    <row r="85">
      <c r="A85" s="12" t="inlineStr">
        <is>
          <t>Product</t>
        </is>
      </c>
      <c r="B85" s="12" t="inlineStr">
        <is>
          <t>Total Sales</t>
        </is>
      </c>
      <c r="C85" s="12" t="inlineStr">
        <is>
          <t>Include?</t>
        </is>
      </c>
    </row>
    <row r="86">
      <c r="A86" s="13" t="inlineStr">
        <is>
          <t>Laptop</t>
        </is>
      </c>
      <c r="B86" s="15">
        <f>SUMIF($C$data:$C$,A86,$E$data:$E$)</f>
        <v/>
      </c>
      <c r="C86" s="13">
        <f>IF(B86&gt;1000,"YES","NO")</f>
        <v/>
      </c>
    </row>
    <row r="87">
      <c r="A87" s="13" t="inlineStr">
        <is>
          <t>Mouse</t>
        </is>
      </c>
      <c r="B87" s="15">
        <f>SUMIF($C$data:$C$,A87,$E$data:$E$)</f>
        <v/>
      </c>
      <c r="C87" s="13">
        <f>IF(B87&gt;1000,"YES","NO")</f>
        <v/>
      </c>
    </row>
    <row r="88">
      <c r="A88" s="13" t="inlineStr">
        <is>
          <t>Monitor</t>
        </is>
      </c>
      <c r="B88" s="15">
        <f>SUMIF($C$data:$C$,A88,$E$data:$E$)</f>
        <v/>
      </c>
      <c r="C88" s="13">
        <f>IF(B88&gt;1000,"YES","NO")</f>
        <v/>
      </c>
    </row>
    <row r="91">
      <c r="A91" s="19" t="inlineStr">
        <is>
          <t>💡 HINT: Pivot Table has filter dropdowns at top. Click arrow &gt; uncheck items to hide. Or use Report Filter area for dynamic filtering.</t>
        </is>
      </c>
    </row>
    <row r="93">
      <c r="A93" s="9" t="inlineStr">
        <is>
          <t>EXERCISE 8: Sorting Pivot Data - Sort by Sales (Descending)</t>
        </is>
      </c>
    </row>
    <row r="94">
      <c r="A94" s="10" t="inlineStr">
        <is>
          <t>Task: Sort products by sales (highest to lowest). Right-click &gt; Sort &gt; Descending. Or sort manually with formulas (RANK).</t>
        </is>
      </c>
    </row>
    <row r="96">
      <c r="A96" s="12" t="inlineStr">
        <is>
          <t>Rank</t>
        </is>
      </c>
      <c r="B96" s="12" t="inlineStr">
        <is>
          <t>Product</t>
        </is>
      </c>
      <c r="C96" s="12" t="inlineStr">
        <is>
          <t>Total Sales</t>
        </is>
      </c>
    </row>
    <row r="97">
      <c r="A97" s="13" t="n">
        <v>1</v>
      </c>
      <c r="B97" s="13" t="inlineStr">
        <is>
          <t>Laptop</t>
        </is>
      </c>
      <c r="C97" s="15" t="n">
        <v>3450</v>
      </c>
    </row>
    <row r="98">
      <c r="A98" s="13" t="n">
        <v>2</v>
      </c>
      <c r="B98" s="13" t="inlineStr">
        <is>
          <t>Monitor</t>
        </is>
      </c>
      <c r="C98" s="15" t="n">
        <v>400</v>
      </c>
    </row>
    <row r="99">
      <c r="A99" s="13" t="n">
        <v>3</v>
      </c>
      <c r="B99" s="13" t="inlineStr">
        <is>
          <t>Mouse</t>
        </is>
      </c>
      <c r="C99" s="15" t="n">
        <v>67</v>
      </c>
    </row>
    <row r="102">
      <c r="A102" s="19" t="inlineStr">
        <is>
          <t>💡 HINT: In pivot, right-click data cell &gt; Sort &gt; Largest to Smallest. Reorders rows by value. Or use RANK formula manually.</t>
        </is>
      </c>
    </row>
    <row r="104">
      <c r="A104" s="9" t="inlineStr">
        <is>
          <t>EXERCISE 9: Group Dates - Sales by Quarter</t>
        </is>
      </c>
    </row>
    <row r="105">
      <c r="A105" s="10" t="inlineStr">
        <is>
          <t>Task: Group transaction dates by quarter (Q1, Q2, Q3, Q4). Pivot: select date field, right-click &gt; Group &gt; by Quarter.</t>
        </is>
      </c>
    </row>
    <row r="107">
      <c r="A107" s="12" t="inlineStr">
        <is>
          <t>Quarter</t>
        </is>
      </c>
      <c r="B107" s="12" t="inlineStr">
        <is>
          <t>Sales</t>
        </is>
      </c>
      <c r="C107" s="12" t="inlineStr">
        <is>
          <t>Order Count</t>
        </is>
      </c>
    </row>
    <row r="108">
      <c r="A108" s="13" t="inlineStr">
        <is>
          <t>Q1 (Jan-Mar)</t>
        </is>
      </c>
      <c r="B108" s="15" t="inlineStr">
        <is>
          <t>(Auto-calculated by pivot grouping)</t>
        </is>
      </c>
      <c r="C108" s="13" t="inlineStr">
        <is>
          <t>(Auto-calculated by pivot grouping)</t>
        </is>
      </c>
    </row>
    <row r="109">
      <c r="A109" s="13" t="inlineStr">
        <is>
          <t>Q2 (Apr-Jun)</t>
        </is>
      </c>
      <c r="B109" s="15" t="inlineStr">
        <is>
          <t>(Auto-calculated by pivot grouping)</t>
        </is>
      </c>
      <c r="C109" s="13" t="inlineStr">
        <is>
          <t>(Auto-calculated by pivot grouping)</t>
        </is>
      </c>
    </row>
    <row r="110">
      <c r="A110" s="13" t="inlineStr">
        <is>
          <t>Q3 (Jul-Sep)</t>
        </is>
      </c>
      <c r="B110" s="15" t="inlineStr">
        <is>
          <t>(Auto-calculated by pivot grouping)</t>
        </is>
      </c>
      <c r="C110" s="13" t="inlineStr">
        <is>
          <t>(Auto-calculated by pivot grouping)</t>
        </is>
      </c>
    </row>
    <row r="111">
      <c r="A111" s="13" t="inlineStr">
        <is>
          <t>Q4 (Oct-Dec)</t>
        </is>
      </c>
      <c r="B111" s="15" t="inlineStr">
        <is>
          <t>(Auto-calculated by pivot grouping)</t>
        </is>
      </c>
      <c r="C111" s="13" t="inlineStr">
        <is>
          <t>(Auto-calculated by pivot grouping)</t>
        </is>
      </c>
    </row>
    <row r="114">
      <c r="A114" s="19" t="inlineStr">
        <is>
          <t>💡 HINT: Drag date field to Rows. Right-click date &gt; Group &gt; by Quarter. Or manually: use QUARTER(date) formula + pivot.</t>
        </is>
      </c>
    </row>
    <row r="116">
      <c r="A116" s="9" t="inlineStr">
        <is>
          <t>EXERCISE 10: Pivot Chart - Visual Analysis of Pivot Data</t>
        </is>
      </c>
    </row>
    <row r="117">
      <c r="A117" s="10" t="inlineStr">
        <is>
          <t>Task: Create chart from pivot table. Insert &gt; Pivot Chart, or create regular chart from pivot data. Visualize trends.</t>
        </is>
      </c>
    </row>
    <row r="119">
      <c r="A119" s="11" t="inlineStr">
        <is>
          <t>Chart Types for Pivot Data:</t>
        </is>
      </c>
    </row>
    <row r="120">
      <c r="A120" s="4" t="inlineStr">
        <is>
          <t>• Bar Chart: Product sales comparison (horizontal bars)</t>
        </is>
      </c>
    </row>
    <row r="121">
      <c r="A121" s="4" t="inlineStr">
        <is>
          <t>• Column Chart: Monthly sales trend (vertical bars)</t>
        </is>
      </c>
    </row>
    <row r="122">
      <c r="A122" s="4" t="inlineStr">
        <is>
          <t>• Pie Chart: % sales by product (total 100%)</t>
        </is>
      </c>
    </row>
    <row r="123">
      <c r="A123" s="4" t="inlineStr">
        <is>
          <t>• Line Chart: Sales trend over time (connect dots)</t>
        </is>
      </c>
    </row>
    <row r="126">
      <c r="A126" s="19" t="inlineStr">
        <is>
          <t>💡 HINT: Select pivot table &gt; Insert &gt; Chart. Excel auto-creates pivot chart. Filters in chart = same filters in pivot. Interactive &amp; synced!</t>
        </is>
      </c>
    </row>
  </sheetData>
  <mergeCells count="35">
    <mergeCell ref="A114:H114"/>
    <mergeCell ref="A83:H83"/>
    <mergeCell ref="A82:H82"/>
    <mergeCell ref="A60:H60"/>
    <mergeCell ref="A49:H49"/>
    <mergeCell ref="A1:H1"/>
    <mergeCell ref="A94:H94"/>
    <mergeCell ref="A123:H123"/>
    <mergeCell ref="A61:H61"/>
    <mergeCell ref="A69:H69"/>
    <mergeCell ref="A25:H25"/>
    <mergeCell ref="A80:H80"/>
    <mergeCell ref="A37:H37"/>
    <mergeCell ref="A120:H120"/>
    <mergeCell ref="A50:H50"/>
    <mergeCell ref="A3:H3"/>
    <mergeCell ref="A26:H26"/>
    <mergeCell ref="A105:H105"/>
    <mergeCell ref="A71:H71"/>
    <mergeCell ref="A104:H104"/>
    <mergeCell ref="A47:H47"/>
    <mergeCell ref="A116:H116"/>
    <mergeCell ref="A23:H23"/>
    <mergeCell ref="A126:H126"/>
    <mergeCell ref="A4:H4"/>
    <mergeCell ref="A122:H122"/>
    <mergeCell ref="A91:H91"/>
    <mergeCell ref="A35:H35"/>
    <mergeCell ref="A38:H38"/>
    <mergeCell ref="A72:H72"/>
    <mergeCell ref="A121:H121"/>
    <mergeCell ref="A102:H102"/>
    <mergeCell ref="A117:H117"/>
    <mergeCell ref="A93:H93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COMPLETE SOLUTIONS &amp; EXPLANATIONS</t>
        </is>
      </c>
    </row>
    <row r="3">
      <c r="A3" s="21" t="inlineStr">
        <is>
          <t>SOLUTION 1: Basic Pivot - Sales by Product</t>
        </is>
      </c>
    </row>
    <row r="4">
      <c r="A4" s="17" t="inlineStr">
        <is>
          <t>Approach:</t>
        </is>
      </c>
      <c r="B4" s="22">
        <f>SUMIF($C$:$C$, Product, $E$:$E$)</f>
        <v/>
      </c>
    </row>
    <row r="5">
      <c r="A5" s="17" t="inlineStr">
        <is>
          <t>Result:</t>
        </is>
      </c>
      <c r="B5" s="23" t="inlineStr">
        <is>
          <t>Laptop: $3450, Mouse: $67, Monitor: $400</t>
        </is>
      </c>
    </row>
    <row r="6">
      <c r="A6" s="24" t="inlineStr">
        <is>
          <t>Explanation:</t>
        </is>
      </c>
    </row>
    <row r="7" ht="25" customHeight="1">
      <c r="A7" s="25" t="inlineStr">
        <is>
          <t>Sum sales grouped by product. SUMIF finds all rows matching product name, sums corresponding sales values. Pivot Table does this automatically.</t>
        </is>
      </c>
    </row>
    <row r="8">
      <c r="A8" s="24" t="inlineStr">
        <is>
          <t>Teacher's Comments:</t>
        </is>
      </c>
    </row>
    <row r="9" ht="50" customHeight="1">
      <c r="A9" s="25" t="inlineStr">
        <is>
          <t>• SUMIF(range_to_search, criteria, sum_range). Search in Product column, sum Sales column.
• Pivot Table: Insert &gt; Data &gt; Pivot Table. Drag Product to Rows, Sales to Values (auto=SUM).
• Best practice: Clean data first, consistent column headers, contiguous data range.
• Real scenario: Sales by product, revenue by customer, costs by department.</t>
        </is>
      </c>
    </row>
    <row r="11">
      <c r="A11" s="21" t="inlineStr">
        <is>
          <t>SOLUTION 2: Two-Dimensional Pivot (Product x Region)</t>
        </is>
      </c>
    </row>
    <row r="12">
      <c r="A12" s="17" t="inlineStr">
        <is>
          <t>Approach:</t>
        </is>
      </c>
      <c r="B12" s="22">
        <f>SUMIFS($E$, $C$=Product, $D$=Region)</f>
        <v/>
      </c>
    </row>
    <row r="13">
      <c r="A13" s="17" t="inlineStr">
        <is>
          <t>Result:</t>
        </is>
      </c>
      <c r="B13" s="23" t="inlineStr">
        <is>
          <t>Cross-tabulation: Product rows × Region columns, sales in cells</t>
        </is>
      </c>
    </row>
    <row r="14">
      <c r="A14" s="24" t="inlineStr">
        <is>
          <t>Explanation:</t>
        </is>
      </c>
    </row>
    <row r="15" ht="25" customHeight="1">
      <c r="A15" s="25" t="inlineStr">
        <is>
          <t>SUMIFS sums with multiple criteria: product AND region. Pivot Table rows=Product, columns=Region, values=SUM(Sales). Powerful analysis.</t>
        </is>
      </c>
    </row>
    <row r="16">
      <c r="A16" s="24" t="inlineStr">
        <is>
          <t>Teacher's Comments:</t>
        </is>
      </c>
    </row>
    <row r="17" ht="50" customHeight="1">
      <c r="A17" s="25" t="inlineStr">
        <is>
          <t>• SUMIFS allows multiple criteria. Each criterion (product AND region) narrows results.
• Pivot: Drag Product to Rows, Region to Columns, Sales to Values.
• Reveals patterns: which product sells best in which region? USA prefers Laptops, Asia too.
• Real scenario: Sales by product/region, revenue by product/customer, costs by department/location.</t>
        </is>
      </c>
    </row>
    <row r="19">
      <c r="A19" s="21" t="inlineStr">
        <is>
          <t>SOLUTION 3: Time-Based Pivot (by Month)</t>
        </is>
      </c>
    </row>
    <row r="20">
      <c r="A20" s="17" t="inlineStr">
        <is>
          <t>Approach:</t>
        </is>
      </c>
      <c r="B20" s="22">
        <f>SUMIFS by MONTH(date)</f>
        <v/>
      </c>
    </row>
    <row r="21">
      <c r="A21" s="17" t="inlineStr">
        <is>
          <t>Result:</t>
        </is>
      </c>
      <c r="B21" s="23" t="inlineStr">
        <is>
          <t>Monthly sales totals and trends over time</t>
        </is>
      </c>
    </row>
    <row r="22">
      <c r="A22" s="24" t="inlineStr">
        <is>
          <t>Explanation:</t>
        </is>
      </c>
    </row>
    <row r="23" ht="25" customHeight="1">
      <c r="A23" s="25" t="inlineStr">
        <is>
          <t>Group transactions by month. Pivot: drag Date field to Rows, right-click &gt; Group &gt; Month. Shows trends: increasing/decreasing sales.</t>
        </is>
      </c>
    </row>
    <row r="24">
      <c r="A24" s="24" t="inlineStr">
        <is>
          <t>Teacher's Comments:</t>
        </is>
      </c>
    </row>
    <row r="25" ht="50" customHeight="1">
      <c r="A25" s="25" t="inlineStr">
        <is>
          <t>• Excel groups dates automatically in pivot. No need for manual MONTH formulas.
• Date grouping options: Day, Week, Month, Quarter, Year, or custom ranges.
• Trend analysis: Do sales increase seasonally? Peak months? Slow periods?
• Real scenario: Revenue trends, seasonal analysis, forecasting, anomaly detection.</t>
        </is>
      </c>
    </row>
    <row r="27">
      <c r="A27" s="21" t="inlineStr">
        <is>
          <t>SOLUTION 4: Count Aggregation - Order Count by Product</t>
        </is>
      </c>
    </row>
    <row r="28">
      <c r="A28" s="17" t="inlineStr">
        <is>
          <t>Approach:</t>
        </is>
      </c>
      <c r="B28" s="22">
        <f>COUNTIF($C$, Product)</f>
        <v/>
      </c>
    </row>
    <row r="29">
      <c r="A29" s="17" t="inlineStr">
        <is>
          <t>Result:</t>
        </is>
      </c>
      <c r="B29" s="23" t="inlineStr">
        <is>
          <t>Laptop: 3 orders, Mouse: 2 orders, Monitor: 1 order</t>
        </is>
      </c>
    </row>
    <row r="30">
      <c r="A30" s="24" t="inlineStr">
        <is>
          <t>Explanation:</t>
        </is>
      </c>
    </row>
    <row r="31" ht="25" customHeight="1">
      <c r="A31" s="25" t="inlineStr">
        <is>
          <t>Count transactions per product (not sum). Pivot: drag Product to Rows, drag any field to Values &gt; change to COUNT. Frequency analysis.</t>
        </is>
      </c>
    </row>
    <row r="32">
      <c r="A32" s="24" t="inlineStr">
        <is>
          <t>Teacher's Comments:</t>
        </is>
      </c>
    </row>
    <row r="33" ht="50" customHeight="1">
      <c r="A33" s="25" t="inlineStr">
        <is>
          <t>• COUNTIF counts matching rows. COUNTIFS for multiple criteria.
• Different from SUM: Count = how many, Sum = total amount.
• Combined with SUM: both metrics reveal insights. Laptop 3 orders × $1150 avg = top product.
• Real scenario: Order frequency by product/customer, transaction count by region, event frequency.</t>
        </is>
      </c>
    </row>
    <row r="35">
      <c r="A35" s="21" t="inlineStr">
        <is>
          <t>SOLUTION 5: Average Aggregation - Avg Order Value by Region</t>
        </is>
      </c>
    </row>
    <row r="36">
      <c r="A36" s="17" t="inlineStr">
        <is>
          <t>Approach:</t>
        </is>
      </c>
      <c r="B36" s="22">
        <f>AVERAGEIF($D$, Region, $E$)</f>
        <v/>
      </c>
    </row>
    <row r="37">
      <c r="A37" s="17" t="inlineStr">
        <is>
          <t>Result:</t>
        </is>
      </c>
      <c r="B37" s="23" t="inlineStr">
        <is>
          <t>USA: $545 avg, Europe: $591 avg, Asia: $1100 avg</t>
        </is>
      </c>
    </row>
    <row r="38">
      <c r="A38" s="24" t="inlineStr">
        <is>
          <t>Explanation:</t>
        </is>
      </c>
    </row>
    <row r="39" ht="25" customHeight="1">
      <c r="A39" s="25" t="inlineStr">
        <is>
          <t>Average (not sum) by region. AVERAGEIF for manual approach, Pivot with AVERAGE function. Shows which region has higher-value orders.</t>
        </is>
      </c>
    </row>
    <row r="40">
      <c r="A40" s="24" t="inlineStr">
        <is>
          <t>Teacher's Comments:</t>
        </is>
      </c>
    </row>
    <row r="41" ht="50" customHeight="1">
      <c r="A41" s="25" t="inlineStr">
        <is>
          <t>• AVERAGEIF(range_to_search, criteria, average_range).
• Pivot: drag Region to Rows, Sales to Values &gt; change to AVERAGE.
• Insight: Asia has highest avg order value ($1100 laptop only). USA mixed ($1200, $35, $400).
• Real scenario: Average transaction value by segment, average deal size, average customer spend.</t>
        </is>
      </c>
    </row>
    <row r="43">
      <c r="A43" s="21" t="inlineStr">
        <is>
          <t>SOLUTION 6: Multiple Aggregations - SUM + COUNT + AVERAGE</t>
        </is>
      </c>
    </row>
    <row r="44">
      <c r="A44" s="17" t="inlineStr">
        <is>
          <t>Approach:</t>
        </is>
      </c>
      <c r="B44" s="22" t="inlineStr">
        <is>
          <t>Combine SUMIF, COUNTIF, AVERAGEIF in one table</t>
        </is>
      </c>
    </row>
    <row r="45">
      <c r="A45" s="17" t="inlineStr">
        <is>
          <t>Result:</t>
        </is>
      </c>
      <c r="B45" s="23" t="inlineStr">
        <is>
          <t>Laptop: $3450 total, 3 orders, $1150 avg per order</t>
        </is>
      </c>
    </row>
    <row r="46">
      <c r="A46" s="24" t="inlineStr">
        <is>
          <t>Explanation:</t>
        </is>
      </c>
    </row>
    <row r="47" ht="25" customHeight="1">
      <c r="A47" s="25" t="inlineStr">
        <is>
          <t>Show multiple metrics for comprehensive analysis. Pivot can display fields multiple ways (SUM, COUNT, AVG in columns).</t>
        </is>
      </c>
    </row>
    <row r="48">
      <c r="A48" s="24" t="inlineStr">
        <is>
          <t>Teacher's Comments:</t>
        </is>
      </c>
    </row>
    <row r="49" ht="50" customHeight="1">
      <c r="A49" s="25" t="inlineStr">
        <is>
          <t>• Pivot: Add Sales field multiple times. Once as SUM, once as COUNT, once as AVERAGE.
• Or manual: three separate formulas (SUMIF, COUNTIF, AVERAGEIF) side by side.
• Multiple metrics reveal patterns: high-volume + low-value, low-volume + high-value, balanced.
• Real scenario: Comprehensive product/customer/region analysis, dashboard metrics.</t>
        </is>
      </c>
    </row>
    <row r="51">
      <c r="A51" s="21" t="inlineStr">
        <is>
          <t>SOLUTION 7: Pivot Filtering - Exclude Products Below Threshold</t>
        </is>
      </c>
    </row>
    <row r="52">
      <c r="A52" s="17" t="inlineStr">
        <is>
          <t>Approach:</t>
        </is>
      </c>
      <c r="B52" s="22">
        <f>IF(total_sales &gt; 1000, product_row, "")</f>
        <v/>
      </c>
    </row>
    <row r="53">
      <c r="A53" s="17" t="inlineStr">
        <is>
          <t>Result:</t>
        </is>
      </c>
      <c r="B53" s="23" t="inlineStr">
        <is>
          <t>Shows only Laptop ($3450). Hides Mouse ($67) and Monitor ($400)</t>
        </is>
      </c>
    </row>
    <row r="54">
      <c r="A54" s="24" t="inlineStr">
        <is>
          <t>Explanation:</t>
        </is>
      </c>
    </row>
    <row r="55" ht="25" customHeight="1">
      <c r="A55" s="25" t="inlineStr">
        <is>
          <t>Use pivot filters (click dropdown arrow) to uncheck low-value items, or use Report Filter area. Focuses attention on important products.</t>
        </is>
      </c>
    </row>
    <row r="56">
      <c r="A56" s="24" t="inlineStr">
        <is>
          <t>Teacher's Comments:</t>
        </is>
      </c>
    </row>
    <row r="57" ht="50" customHeight="1">
      <c r="A57" s="25" t="inlineStr">
        <is>
          <t>• Pivot filters: Click field dropdown in pivot. Uncheck items to hide (values still in data, just hidden).
• Report Filter area: Drag field above pivot for global filter. Choose dates/regions/products to display.
• Manual: Use IF formula to conditionally show rows. Or sort/highlight low-value rows visually.
• Real scenario: Focus on top products, top regions, top customers. Hide noise, show signal.</t>
        </is>
      </c>
    </row>
    <row r="59">
      <c r="A59" s="21" t="inlineStr">
        <is>
          <t>SOLUTION 8: Sorting Pivot Data - Sort by Sales (Descending)</t>
        </is>
      </c>
    </row>
    <row r="60">
      <c r="A60" s="17" t="inlineStr">
        <is>
          <t>Approach:</t>
        </is>
      </c>
      <c r="B60" s="22">
        <f>RANK(sales_value, all_sales)</f>
        <v/>
      </c>
    </row>
    <row r="61">
      <c r="A61" s="17" t="inlineStr">
        <is>
          <t>Result:</t>
        </is>
      </c>
      <c r="B61" s="23" t="inlineStr">
        <is>
          <t>Laptop $3450, Monitor $400, Mouse $67 (highest to lowest)</t>
        </is>
      </c>
    </row>
    <row r="62">
      <c r="A62" s="24" t="inlineStr">
        <is>
          <t>Explanation:</t>
        </is>
      </c>
    </row>
    <row r="63" ht="25" customHeight="1">
      <c r="A63" s="25" t="inlineStr">
        <is>
          <t>Right-click pivot cell &gt; Sort &gt; Largest to Smallest. Reorders rows by values. Or manually use RANK formula.</t>
        </is>
      </c>
    </row>
    <row r="64">
      <c r="A64" s="24" t="inlineStr">
        <is>
          <t>Teacher's Comments:</t>
        </is>
      </c>
    </row>
    <row r="65" ht="50" customHeight="1">
      <c r="A65" s="25" t="inlineStr">
        <is>
          <t>• Pivot sorting: Right-click any data cell in pivot &gt; Sort &gt; Descending/Ascending.
• RANK function: =RANK(value, array, [order]). 0=descending (largest first), 1=ascending.
• Sorting reveals top/bottom performers. Top products, worst-performing regions, etc.
• Real scenario: Pareto analysis (top 20% products = 80% revenue), focus on outliers.</t>
        </is>
      </c>
    </row>
    <row r="67">
      <c r="A67" s="21" t="inlineStr">
        <is>
          <t>SOLUTION 9: Group Dates - Sales by Quarter</t>
        </is>
      </c>
    </row>
    <row r="68">
      <c r="A68" s="17" t="inlineStr">
        <is>
          <t>Approach:</t>
        </is>
      </c>
      <c r="B68" s="22">
        <f>QUARTER(date) + SUMIF by quarter</f>
        <v/>
      </c>
    </row>
    <row r="69">
      <c r="A69" s="17" t="inlineStr">
        <is>
          <t>Result:</t>
        </is>
      </c>
      <c r="B69" s="23" t="inlineStr">
        <is>
          <t>Q1: $3887, Q2: (not shown), Q3: (not shown), Q4: (not shown)</t>
        </is>
      </c>
    </row>
    <row r="70">
      <c r="A70" s="24" t="inlineStr">
        <is>
          <t>Explanation:</t>
        </is>
      </c>
    </row>
    <row r="71" ht="25" customHeight="1">
      <c r="A71" s="25" t="inlineStr">
        <is>
          <t>Pivot date grouping is automatic. Select date field in pivot, right-click &gt; Group &gt; Quarter. Shows quarterly trends.</t>
        </is>
      </c>
    </row>
    <row r="72">
      <c r="A72" s="24" t="inlineStr">
        <is>
          <t>Teacher's Comments:</t>
        </is>
      </c>
    </row>
    <row r="73" ht="50" customHeight="1">
      <c r="A73" s="25" t="inlineStr">
        <is>
          <t>• Pivot auto-groups: dates in pivot automatically show as Day/Week/Month/Quarter/Year.
• Grouping options: right-click date field &gt; Group &gt; select interval.
• Manual: Use QUARTER(date) formula to create quarter labels, then pivot by that column.
• Real scenario: Quarterly reporting, seasonal trends, annual vs quarterly forecasting.</t>
        </is>
      </c>
    </row>
    <row r="75">
      <c r="A75" s="21" t="inlineStr">
        <is>
          <t>SOLUTION 10: Pivot Chart - Visual Analysis</t>
        </is>
      </c>
    </row>
    <row r="76">
      <c r="A76" s="17" t="inlineStr">
        <is>
          <t>Approach:</t>
        </is>
      </c>
      <c r="B76" s="22" t="inlineStr">
        <is>
          <t>Insert &gt; Pivot Chart from existing pivot table</t>
        </is>
      </c>
    </row>
    <row r="77">
      <c r="A77" s="17" t="inlineStr">
        <is>
          <t>Result:</t>
        </is>
      </c>
      <c r="B77" s="23" t="inlineStr">
        <is>
          <t>Bar/column/line chart showing product sales or monthly trends</t>
        </is>
      </c>
    </row>
    <row r="78">
      <c r="A78" s="24" t="inlineStr">
        <is>
          <t>Explanation:</t>
        </is>
      </c>
    </row>
    <row r="79" ht="25" customHeight="1">
      <c r="A79" s="25" t="inlineStr">
        <is>
          <t>Select pivot table &gt; Insert &gt; Chart. Excel creates chart linked to pivot. Filter pivot = filter chart automatically.</t>
        </is>
      </c>
    </row>
    <row r="80">
      <c r="A80" s="24" t="inlineStr">
        <is>
          <t>Teacher's Comments:</t>
        </is>
      </c>
    </row>
    <row r="81" ht="50" customHeight="1">
      <c r="A81" s="25" t="inlineStr">
        <is>
          <t>• Pivot Chart is connected to pivot table. Change pivot filters = chart updates instantly.
• Chart types: Bar (horizontal), Column (vertical), Pie (composition), Line (trends).
• Recommendation: Column for product comparison, Line for time trends, Pie for % breakdown.
• Real scenario: Executive dashboards, presentations, trend communication.</t>
        </is>
      </c>
    </row>
  </sheetData>
  <mergeCells count="31">
    <mergeCell ref="A9:H9"/>
    <mergeCell ref="A67:H67"/>
    <mergeCell ref="A39:H39"/>
    <mergeCell ref="A15:H15"/>
    <mergeCell ref="A59:H59"/>
    <mergeCell ref="A73:H73"/>
    <mergeCell ref="A51:H51"/>
    <mergeCell ref="A11:H11"/>
    <mergeCell ref="A49:H49"/>
    <mergeCell ref="A1:H1"/>
    <mergeCell ref="A79:H79"/>
    <mergeCell ref="A7:H7"/>
    <mergeCell ref="A25:H25"/>
    <mergeCell ref="A65:H65"/>
    <mergeCell ref="A41:H41"/>
    <mergeCell ref="A75:H75"/>
    <mergeCell ref="A27:H27"/>
    <mergeCell ref="A3:H3"/>
    <mergeCell ref="A55:H55"/>
    <mergeCell ref="A57:H57"/>
    <mergeCell ref="A71:H71"/>
    <mergeCell ref="A33:H33"/>
    <mergeCell ref="A47:H47"/>
    <mergeCell ref="A23:H23"/>
    <mergeCell ref="A17:H17"/>
    <mergeCell ref="A35:H35"/>
    <mergeCell ref="A43:H43"/>
    <mergeCell ref="A81:H81"/>
    <mergeCell ref="A63:H63"/>
    <mergeCell ref="A19:H19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2025-12-07T08:31:44Z</dcterms:created>
  <dcterms:modified xmlns:dcterms="http://purl.org/dc/terms/" xmlns:xsi="http://www.w3.org/2001/XMLSchema-instance" xsi:type="dcterms:W3CDTF">2025-12-07T08:32:53Z</dcterms:modified>
</cp:coreProperties>
</file>