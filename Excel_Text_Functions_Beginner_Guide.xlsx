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7A2B8"/>
      <sz val="14"/>
    </font>
    <font>
      <name val="Calibri"/>
      <i val="1"/>
      <color rgb="00666666"/>
      <sz val="11"/>
    </font>
    <font>
      <name val="Calibri"/>
      <b val="1"/>
      <color rgb="0017A2B8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  <font>
      <name val="Calibri"/>
      <b val="1"/>
      <color rgb="00FFFFFF"/>
      <sz val="12"/>
    </font>
    <font>
      <i val="1"/>
      <color rgb="000070C0"/>
      <sz val="9"/>
    </font>
    <font>
      <b val="1"/>
    </font>
    <font>
      <name val="Courier New"/>
      <color rgb="00C00000"/>
      <sz val="11"/>
    </font>
    <font>
      <b val="1"/>
      <color rgb="0017A2B8"/>
    </font>
    <font>
      <name val="Courier New"/>
      <color rgb="00C00000"/>
      <sz val="10"/>
    </font>
    <font>
      <name val="Courier New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D1ECF1"/>
        <bgColor rgb="00D1ECF1"/>
      </patternFill>
    </fill>
    <fill>
      <patternFill patternType="solid">
        <fgColor rgb="0017A2B8"/>
        <bgColor rgb="0017A2B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pivotButton="0" quotePrefix="0" xfId="0"/>
    <xf numFmtId="0" fontId="7" fillId="3" borderId="1" pivotButton="0" quotePrefix="0" xfId="0"/>
    <xf numFmtId="0" fontId="7" fillId="3" borderId="1" applyAlignment="1" pivotButton="0" quotePrefix="0" xfId="0">
      <alignment wrapText="1"/>
    </xf>
    <xf numFmtId="0" fontId="3" fillId="6" borderId="0" pivotButton="0" quotePrefix="0" xfId="0"/>
    <xf numFmtId="0" fontId="9" fillId="0" borderId="0" pivotButton="0" quotePrefix="0" xfId="0"/>
    <xf numFmtId="0" fontId="10" fillId="7" borderId="0" pivotButton="0" quotePrefix="0" xfId="0"/>
    <xf numFmtId="0" fontId="0" fillId="8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3" borderId="0" pivotButton="0" quotePrefix="0" xfId="0"/>
    <xf numFmtId="0" fontId="12" fillId="7" borderId="0" pivotButton="0" quotePrefix="0" xfId="0"/>
    <xf numFmtId="0" fontId="7" fillId="3" borderId="0" applyAlignment="1" pivotButton="0" quotePrefix="0" xfId="0">
      <alignment wrapText="1"/>
    </xf>
    <xf numFmtId="0" fontId="13" fillId="7" borderId="0" pivotButton="0" quotePrefix="0" xfId="0"/>
    <xf numFmtId="0" fontId="0" fillId="8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TEXT FUNCTIONS FOR DATA MANIPULATION</t>
        </is>
      </c>
    </row>
    <row r="2">
      <c r="A2" s="2" t="inlineStr">
        <is>
          <t>Master String Operations: Combining, Extracting, and Transforming Text</t>
        </is>
      </c>
    </row>
    <row r="4">
      <c r="A4" s="3" t="inlineStr">
        <is>
          <t>LEARNING OBJECTIVES</t>
        </is>
      </c>
    </row>
    <row r="5">
      <c r="A5" s="4" t="inlineStr">
        <is>
          <t>✓ Master CONCATENATE and &amp; operator to combine text strings</t>
        </is>
      </c>
    </row>
    <row r="6">
      <c r="A6" s="4" t="inlineStr">
        <is>
          <t>✓ Use LEN to count characters in text</t>
        </is>
      </c>
    </row>
    <row r="7">
      <c r="A7" s="4" t="inlineStr">
        <is>
          <t>✓ Extract substrings with LEFT, RIGHT, MID functions</t>
        </is>
      </c>
    </row>
    <row r="8">
      <c r="A8" s="4" t="inlineStr">
        <is>
          <t>✓ Find and locate text using FIND and SEARCH</t>
        </is>
      </c>
    </row>
    <row r="9">
      <c r="A9" s="4" t="inlineStr">
        <is>
          <t>✓ Transform text with UPPER, LOWER, PROPER functions</t>
        </is>
      </c>
    </row>
    <row r="10">
      <c r="A10" s="4" t="inlineStr">
        <is>
          <t>✓ Replace text patterns using SUBSTITUTE and REPLACE</t>
        </is>
      </c>
    </row>
    <row r="11">
      <c r="A11" s="4" t="inlineStr">
        <is>
          <t>✓ Clean data using TRIM and CLEAN functions</t>
        </is>
      </c>
    </row>
    <row r="12">
      <c r="A12" s="4" t="inlineStr">
        <is>
          <t>✓ Build full names, email addresses, and formatted text</t>
        </is>
      </c>
    </row>
    <row r="14">
      <c r="A14" s="3" t="inlineStr">
        <is>
          <t>CORE TEXT FUNCTIONS OVERVIEW</t>
        </is>
      </c>
    </row>
    <row r="15">
      <c r="A15" s="5" t="inlineStr">
        <is>
          <t>Function</t>
        </is>
      </c>
      <c r="B15" s="5" t="inlineStr">
        <is>
          <t>Syntax</t>
        </is>
      </c>
      <c r="C15" s="5" t="inlineStr">
        <is>
          <t>Purpose</t>
        </is>
      </c>
      <c r="D15" s="5" t="inlineStr">
        <is>
          <t>Example Output</t>
        </is>
      </c>
    </row>
    <row r="16">
      <c r="A16" s="5" t="inlineStr">
        <is>
          <t>CONCATENATE</t>
        </is>
      </c>
      <c r="B16" s="5">
        <f>CONCATENATE(A1, B1)</f>
        <v/>
      </c>
      <c r="C16" s="5" t="inlineStr">
        <is>
          <t>Joins multiple text strings</t>
        </is>
      </c>
      <c r="D16" s="5" t="inlineStr">
        <is>
          <t>"John Smith"</t>
        </is>
      </c>
    </row>
    <row r="17">
      <c r="A17" s="5" t="inlineStr">
        <is>
          <t>&amp; operator</t>
        </is>
      </c>
      <c r="B17" s="5">
        <f>A1&amp;" "&amp;B1</f>
        <v/>
      </c>
      <c r="C17" s="5" t="inlineStr">
        <is>
          <t>Alternative to CONCATENATE (cleaner)</t>
        </is>
      </c>
      <c r="D17" s="5" t="inlineStr">
        <is>
          <t>"John Smith"</t>
        </is>
      </c>
    </row>
    <row r="18">
      <c r="A18" s="5" t="inlineStr">
        <is>
          <t>LEN</t>
        </is>
      </c>
      <c r="B18" s="5">
        <f>LEN(A1)</f>
        <v/>
      </c>
      <c r="C18" s="5" t="inlineStr">
        <is>
          <t>Counts characters in text</t>
        </is>
      </c>
      <c r="D18" s="5" t="inlineStr">
        <is>
          <t>10 (for 'John Smith')</t>
        </is>
      </c>
    </row>
    <row r="19">
      <c r="A19" s="5" t="inlineStr">
        <is>
          <t>LEFT</t>
        </is>
      </c>
      <c r="B19" s="5">
        <f>LEFT(A1, 4)</f>
        <v/>
      </c>
      <c r="C19" s="5" t="inlineStr">
        <is>
          <t>Extracts first N characters</t>
        </is>
      </c>
      <c r="D19" s="5" t="inlineStr">
        <is>
          <t>"John"</t>
        </is>
      </c>
    </row>
    <row r="20">
      <c r="A20" s="5" t="inlineStr">
        <is>
          <t>RIGHT</t>
        </is>
      </c>
      <c r="B20" s="5">
        <f>RIGHT(A1, 5)</f>
        <v/>
      </c>
      <c r="C20" s="5" t="inlineStr">
        <is>
          <t>Extracts last N characters</t>
        </is>
      </c>
      <c r="D20" s="5" t="inlineStr">
        <is>
          <t>"Smith"</t>
        </is>
      </c>
    </row>
    <row r="21">
      <c r="A21" s="5" t="inlineStr">
        <is>
          <t>MID</t>
        </is>
      </c>
      <c r="B21" s="5">
        <f>MID(A1, 1, 4)</f>
        <v/>
      </c>
      <c r="C21" s="5" t="inlineStr">
        <is>
          <t>Extracts from middle (start, length)</t>
        </is>
      </c>
      <c r="D21" s="5" t="inlineStr">
        <is>
          <t>"John"</t>
        </is>
      </c>
    </row>
    <row r="22">
      <c r="A22" s="5" t="inlineStr">
        <is>
          <t>FIND</t>
        </is>
      </c>
      <c r="B22" s="5">
        <f>FIND("@", A1)</f>
        <v/>
      </c>
      <c r="C22" s="5" t="inlineStr">
        <is>
          <t>Finds position of text (case-sensitive)</t>
        </is>
      </c>
      <c r="D22" s="5" t="inlineStr">
        <is>
          <t>12 (position)</t>
        </is>
      </c>
    </row>
    <row r="23">
      <c r="A23" s="5" t="inlineStr">
        <is>
          <t>SEARCH</t>
        </is>
      </c>
      <c r="B23" s="5">
        <f>SEARCH("@", A1)</f>
        <v/>
      </c>
      <c r="C23" s="5" t="inlineStr">
        <is>
          <t>Finds position (case-insensitive)</t>
        </is>
      </c>
      <c r="D23" s="5" t="inlineStr">
        <is>
          <t>12 (position)</t>
        </is>
      </c>
    </row>
    <row r="24">
      <c r="A24" s="5" t="inlineStr">
        <is>
          <t>UPPER</t>
        </is>
      </c>
      <c r="B24" s="5">
        <f>UPPER(A1)</f>
        <v/>
      </c>
      <c r="C24" s="5" t="inlineStr">
        <is>
          <t>Converts to UPPERCASE</t>
        </is>
      </c>
      <c r="D24" s="5" t="inlineStr">
        <is>
          <t>"JOHN SMITH"</t>
        </is>
      </c>
    </row>
    <row r="25">
      <c r="A25" s="5" t="inlineStr">
        <is>
          <t>LOWER</t>
        </is>
      </c>
      <c r="B25" s="5">
        <f>LOWER(A1)</f>
        <v/>
      </c>
      <c r="C25" s="5" t="inlineStr">
        <is>
          <t>Converts to lowercase</t>
        </is>
      </c>
      <c r="D25" s="5" t="inlineStr">
        <is>
          <t>"john smith"</t>
        </is>
      </c>
    </row>
    <row r="26">
      <c r="A26" s="5" t="inlineStr">
        <is>
          <t>PROPER</t>
        </is>
      </c>
      <c r="B26" s="5">
        <f>PROPER(A1)</f>
        <v/>
      </c>
      <c r="C26" s="5" t="inlineStr">
        <is>
          <t>Converts to Proper Case</t>
        </is>
      </c>
      <c r="D26" s="5" t="inlineStr">
        <is>
          <t>"John Smith"</t>
        </is>
      </c>
    </row>
    <row r="27">
      <c r="A27" s="5" t="inlineStr">
        <is>
          <t>SUBSTITUTE</t>
        </is>
      </c>
      <c r="B27" s="5">
        <f>SUBSTITUTE(A1, "old", "new")</f>
        <v/>
      </c>
      <c r="C27" s="5" t="inlineStr">
        <is>
          <t>Replaces all occurrences</t>
        </is>
      </c>
      <c r="D27" s="5" t="inlineStr">
        <is>
          <t>varies</t>
        </is>
      </c>
    </row>
    <row r="28">
      <c r="A28" s="5" t="inlineStr">
        <is>
          <t>REPLACE</t>
        </is>
      </c>
      <c r="B28" s="5">
        <f>REPLACE(A1, 1, 4, "Jane")</f>
        <v/>
      </c>
      <c r="C28" s="5" t="inlineStr">
        <is>
          <t>Replaces by position</t>
        </is>
      </c>
      <c r="D28" s="5" t="inlineStr">
        <is>
          <t>"Jane Smith"</t>
        </is>
      </c>
    </row>
    <row r="29">
      <c r="A29" s="5" t="inlineStr">
        <is>
          <t>TRIM</t>
        </is>
      </c>
      <c r="B29" s="5">
        <f>TRIM(A1)</f>
        <v/>
      </c>
      <c r="C29" s="5" t="inlineStr">
        <is>
          <t>Removes extra spaces</t>
        </is>
      </c>
      <c r="D29" s="5" t="inlineStr">
        <is>
          <t>"John Smith"</t>
        </is>
      </c>
    </row>
    <row r="30">
      <c r="A30" s="5" t="inlineStr">
        <is>
          <t>CLEAN</t>
        </is>
      </c>
      <c r="B30" s="5">
        <f>CLEAN(A1)</f>
        <v/>
      </c>
      <c r="C30" s="5" t="inlineStr">
        <is>
          <t>Removes non-printable characters</t>
        </is>
      </c>
      <c r="D30" s="5" t="inlineStr">
        <is>
          <t>cleaned text</t>
        </is>
      </c>
    </row>
    <row r="32">
      <c r="A32" s="3" t="inlineStr">
        <is>
          <t>KEY CONCEPTS FOR TEXT MANIPULATION</t>
        </is>
      </c>
    </row>
    <row r="33">
      <c r="A33" s="6" t="inlineStr">
        <is>
          <t>CONCATENATION</t>
        </is>
      </c>
    </row>
    <row r="34" ht="25" customHeight="1">
      <c r="A34" s="7" t="inlineStr">
        <is>
          <t>Combining text is the foundation. Use &amp; operator (modern) instead of CONCATENATE (older). Both work, but &amp; is cleaner: =A1&amp;" "&amp;B1</t>
        </is>
      </c>
    </row>
    <row r="35">
      <c r="A35" s="6" t="inlineStr">
        <is>
          <t>POSITION vs VALUE</t>
        </is>
      </c>
    </row>
    <row r="36" ht="25" customHeight="1">
      <c r="A36" s="7" t="inlineStr">
        <is>
          <t>FIND/SEARCH return the POSITION (number), not the text itself. Use MID to extract.</t>
        </is>
      </c>
    </row>
    <row r="37">
      <c r="A37" s="6" t="inlineStr">
        <is>
          <t>CASE SENSITIVITY</t>
        </is>
      </c>
    </row>
    <row r="38" ht="25" customHeight="1">
      <c r="A38" s="7" t="inlineStr">
        <is>
          <t>FIND is case-sensitive (finds 'John' but not 'john'). SEARCH ignores case.</t>
        </is>
      </c>
    </row>
    <row r="39">
      <c r="A39" s="6" t="inlineStr">
        <is>
          <t>TEXT vs NUMBERS</t>
        </is>
      </c>
    </row>
    <row r="40" ht="25" customHeight="1">
      <c r="A40" s="7" t="inlineStr">
        <is>
          <t>TEXT functions treat numbers as text. Excel auto-converts, but be aware: '1000' (text) ≠ 1000 (number).</t>
        </is>
      </c>
    </row>
    <row r="42">
      <c r="A42" s="3" t="inlineStr">
        <is>
          <t>BEST PRACTICES FOR TEXT FUNCTIONS</t>
        </is>
      </c>
    </row>
    <row r="43">
      <c r="A43" s="4" t="inlineStr">
        <is>
          <t>🔹 Always TRIM before comparing text - invisible spaces cause 'exact match' failures</t>
        </is>
      </c>
    </row>
    <row r="44">
      <c r="A44" s="4" t="inlineStr">
        <is>
          <t>🔹 Use CLEAN after importing data from external sources (removes hidden characters)</t>
        </is>
      </c>
    </row>
    <row r="45">
      <c r="A45" s="4" t="inlineStr">
        <is>
          <t>🔹 For email validation, combine FIND with IF: =IF(ISERROR(FIND("@",A1)),"Invalid","Valid")</t>
        </is>
      </c>
    </row>
    <row r="46">
      <c r="A46" s="4" t="inlineStr">
        <is>
          <t>🔹 Build formulas step-by-step. Test each function before nesting.</t>
        </is>
      </c>
    </row>
    <row r="47">
      <c r="A47" s="4" t="inlineStr">
        <is>
          <t>🔹 Use SUBSTITUTE for simple replacements, REGEX in newer versions for complex patterns</t>
        </is>
      </c>
    </row>
    <row r="49">
      <c r="A49" s="8" t="inlineStr">
        <is>
          <t>COMMON MISTAKES TO AVOID</t>
        </is>
      </c>
    </row>
    <row r="50">
      <c r="A50" s="4" t="inlineStr">
        <is>
          <t>❌ Forgetting spaces in CONCATENATE: =A1&amp;B1 produces 'JohnSmith' not 'John Smith'</t>
        </is>
      </c>
    </row>
    <row r="51">
      <c r="A51" s="4" t="inlineStr">
        <is>
          <t>❌ Counting positions wrong in MID: MID("Excel", 2, 3) = "xce" (starts at position 2, not 1)</t>
        </is>
      </c>
    </row>
    <row r="52">
      <c r="A52" s="4" t="inlineStr">
        <is>
          <t>❌ Using FIND on data with extra spaces (use TRIM first)</t>
        </is>
      </c>
    </row>
    <row r="53">
      <c r="A53" s="4" t="inlineStr">
        <is>
          <t>❌ Confusing FIND/SEARCH position with the actual text</t>
        </is>
      </c>
    </row>
    <row r="54">
      <c r="A54" s="4" t="inlineStr">
        <is>
          <t>❌ Not checking if FIND returns #VALUE! error (text not found)</t>
        </is>
      </c>
    </row>
  </sheetData>
  <mergeCells count="33">
    <mergeCell ref="A54:F54"/>
    <mergeCell ref="A46:F46"/>
    <mergeCell ref="A37:F37"/>
    <mergeCell ref="A12:F12"/>
    <mergeCell ref="A50:F50"/>
    <mergeCell ref="A2:F2"/>
    <mergeCell ref="A33:F33"/>
    <mergeCell ref="A47:F47"/>
    <mergeCell ref="A42:F42"/>
    <mergeCell ref="A14:F14"/>
    <mergeCell ref="A5:F5"/>
    <mergeCell ref="A32:F32"/>
    <mergeCell ref="A8:F8"/>
    <mergeCell ref="A35:F35"/>
    <mergeCell ref="A4:F4"/>
    <mergeCell ref="A53:F53"/>
    <mergeCell ref="A43:F43"/>
    <mergeCell ref="A38:F38"/>
    <mergeCell ref="A52:F52"/>
    <mergeCell ref="A10:F10"/>
    <mergeCell ref="A44:F44"/>
    <mergeCell ref="A9:F9"/>
    <mergeCell ref="A34:F34"/>
    <mergeCell ref="A40:F40"/>
    <mergeCell ref="A39:F39"/>
    <mergeCell ref="A11:F11"/>
    <mergeCell ref="A49:F49"/>
    <mergeCell ref="A51:F51"/>
    <mergeCell ref="A36:F36"/>
    <mergeCell ref="A1:F1"/>
    <mergeCell ref="A45:F45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5" customHeight="1">
      <c r="A1" s="1" t="inlineStr">
        <is>
          <t>10 REAL-WORLD TEXT PRACTICE EXERCISES</t>
        </is>
      </c>
    </row>
    <row r="3">
      <c r="A3" s="9" t="inlineStr">
        <is>
          <t>EXERCISE 1: Create Full Names (CONCATENATE &amp; &amp; Operator)</t>
        </is>
      </c>
    </row>
    <row r="4">
      <c r="A4" s="10" t="inlineStr">
        <is>
          <t>Task: Combine first and last names into a full name column. Use both methods.</t>
        </is>
      </c>
    </row>
    <row r="6">
      <c r="A6" s="11" t="inlineStr">
        <is>
          <t>First Name</t>
        </is>
      </c>
      <c r="B6" s="11" t="inlineStr">
        <is>
          <t>Last Name</t>
        </is>
      </c>
      <c r="C6" s="11" t="inlineStr">
        <is>
          <t>Full Name (CONCATENATE)</t>
        </is>
      </c>
      <c r="D6" s="11" t="inlineStr">
        <is>
          <t>Full Name (&amp; operator)</t>
        </is>
      </c>
    </row>
    <row r="7">
      <c r="A7" s="12" t="inlineStr">
        <is>
          <t>John</t>
        </is>
      </c>
      <c r="B7" s="12" t="inlineStr">
        <is>
          <t>Smith</t>
        </is>
      </c>
      <c r="C7" s="12">
        <f>CONCATENATE(A7," ",B7)</f>
        <v/>
      </c>
      <c r="D7" s="12">
        <f>A7&amp;" "&amp;B7</f>
        <v/>
      </c>
    </row>
    <row r="8">
      <c r="A8" s="12" t="inlineStr">
        <is>
          <t>Sarah</t>
        </is>
      </c>
      <c r="B8" s="12" t="inlineStr">
        <is>
          <t>Johnson</t>
        </is>
      </c>
      <c r="C8" s="12">
        <f>CONCATENATE(A8," ",B8)</f>
        <v/>
      </c>
      <c r="D8" s="12">
        <f>A8&amp;" "&amp;B8</f>
        <v/>
      </c>
    </row>
    <row r="9">
      <c r="A9" s="12" t="inlineStr">
        <is>
          <t>Michael</t>
        </is>
      </c>
      <c r="B9" s="12" t="inlineStr">
        <is>
          <t>Chen</t>
        </is>
      </c>
      <c r="C9" s="12">
        <f>CONCATENATE(A9," ",B9)</f>
        <v/>
      </c>
      <c r="D9" s="12">
        <f>A9&amp;" "&amp;B9</f>
        <v/>
      </c>
    </row>
    <row r="10">
      <c r="A10" s="12" t="inlineStr">
        <is>
          <t>Emma</t>
        </is>
      </c>
      <c r="B10" s="12" t="inlineStr">
        <is>
          <t>Williams</t>
        </is>
      </c>
      <c r="C10" s="12">
        <f>CONCATENATE(A10," ",B10)</f>
        <v/>
      </c>
      <c r="D10" s="12">
        <f>A10&amp;" "&amp;B10</f>
        <v/>
      </c>
    </row>
    <row r="11">
      <c r="A11" s="12" t="inlineStr">
        <is>
          <t>David</t>
        </is>
      </c>
      <c r="B11" s="12" t="inlineStr">
        <is>
          <t>Martinez</t>
        </is>
      </c>
      <c r="C11" s="12">
        <f>CONCATENATE(A11," ",B11)</f>
        <v/>
      </c>
      <c r="D11" s="12">
        <f>A11&amp;" "&amp;B11</f>
        <v/>
      </c>
    </row>
    <row r="13">
      <c r="A13" s="13" t="inlineStr">
        <is>
          <t>💡 HINT: Use =A{row}&amp;" "&amp;B{row} (cleaner). Result should be "John Smith", "Sarah Johnson", etc.</t>
        </is>
      </c>
    </row>
    <row r="15">
      <c r="A15" s="9" t="inlineStr">
        <is>
          <t>EXERCISE 2: Count Characters (LEN Function)</t>
        </is>
      </c>
    </row>
    <row r="16">
      <c r="A16" s="10" t="inlineStr">
        <is>
          <t>Task: Count the number of characters in each product name below.</t>
        </is>
      </c>
    </row>
    <row r="18">
      <c r="A18" s="14" t="inlineStr">
        <is>
          <t>Product Name</t>
        </is>
      </c>
      <c r="B18" s="14" t="inlineStr">
        <is>
          <t>Character Count</t>
        </is>
      </c>
      <c r="C18" s="14" t="inlineStr">
        <is>
          <t>Notes</t>
        </is>
      </c>
    </row>
    <row r="19">
      <c r="A19" s="12" t="inlineStr">
        <is>
          <t>Apple MacBook Pro</t>
        </is>
      </c>
      <c r="B19" s="12">
        <f>LEN(A19)</f>
        <v/>
      </c>
      <c r="C19" s="12" t="inlineStr">
        <is>
          <t>(includes spaces)</t>
        </is>
      </c>
    </row>
    <row r="20">
      <c r="A20" s="12" t="inlineStr">
        <is>
          <t>Dell XPS 13 Laptop</t>
        </is>
      </c>
      <c r="B20" s="12">
        <f>LEN(A20)</f>
        <v/>
      </c>
      <c r="C20" s="12" t="inlineStr">
        <is>
          <t>(includes spaces)</t>
        </is>
      </c>
    </row>
    <row r="21">
      <c r="A21" s="12" t="inlineStr">
        <is>
          <t>Samsung Monitor 27"</t>
        </is>
      </c>
      <c r="B21" s="12">
        <f>LEN(A21)</f>
        <v/>
      </c>
      <c r="C21" s="12" t="inlineStr">
        <is>
          <t>(includes spaces)</t>
        </is>
      </c>
    </row>
    <row r="22">
      <c r="A22" s="12" t="inlineStr">
        <is>
          <t>Wireless Mouse</t>
        </is>
      </c>
      <c r="B22" s="12">
        <f>LEN(A22)</f>
        <v/>
      </c>
      <c r="C22" s="12" t="inlineStr">
        <is>
          <t>(includes spaces)</t>
        </is>
      </c>
    </row>
    <row r="23">
      <c r="A23" s="12" t="inlineStr">
        <is>
          <t>USB-C Cable</t>
        </is>
      </c>
      <c r="B23" s="12">
        <f>LEN(A23)</f>
        <v/>
      </c>
      <c r="C23" s="12" t="inlineStr">
        <is>
          <t>(includes spaces)</t>
        </is>
      </c>
    </row>
    <row r="25">
      <c r="A25" s="13" t="inlineStr">
        <is>
          <t>💡 HINT: =LEN(A{row}) counts ALL characters including spaces. "Hello World" = 11 (including the space).</t>
        </is>
      </c>
    </row>
    <row r="27">
      <c r="A27" s="9" t="inlineStr">
        <is>
          <t>EXERCISE 3: Extract First &amp; Last Characters (LEFT, RIGHT)</t>
        </is>
      </c>
    </row>
    <row r="28">
      <c r="A28" s="10" t="inlineStr">
        <is>
          <t>Task: Extract the first 5 characters and last 3 characters from email addresses.</t>
        </is>
      </c>
    </row>
    <row r="30">
      <c r="A30" s="14" t="inlineStr">
        <is>
          <t>Email</t>
        </is>
      </c>
      <c r="B30" s="14" t="inlineStr">
        <is>
          <t>First 5 Chars</t>
        </is>
      </c>
      <c r="C30" s="14" t="inlineStr">
        <is>
          <t>Last 3 Chars</t>
        </is>
      </c>
    </row>
    <row r="31">
      <c r="A31" s="12" t="inlineStr">
        <is>
          <t>john.smith@company.com</t>
        </is>
      </c>
      <c r="B31" s="12">
        <f>LEFT(A31,5)</f>
        <v/>
      </c>
      <c r="C31" s="12">
        <f>RIGHT(A31,3)</f>
        <v/>
      </c>
    </row>
    <row r="32">
      <c r="A32" s="12" t="inlineStr">
        <is>
          <t>sarah.j@business.org</t>
        </is>
      </c>
      <c r="B32" s="12">
        <f>LEFT(A32,5)</f>
        <v/>
      </c>
      <c r="C32" s="12">
        <f>RIGHT(A32,3)</f>
        <v/>
      </c>
    </row>
    <row r="33">
      <c r="A33" s="12" t="inlineStr">
        <is>
          <t>michael.chen@mail.co.uk</t>
        </is>
      </c>
      <c r="B33" s="12">
        <f>LEFT(A33,5)</f>
        <v/>
      </c>
      <c r="C33" s="12">
        <f>RIGHT(A33,3)</f>
        <v/>
      </c>
    </row>
    <row r="34">
      <c r="A34" s="12" t="inlineStr">
        <is>
          <t>emma.w@startup.io</t>
        </is>
      </c>
      <c r="B34" s="12">
        <f>LEFT(A34,5)</f>
        <v/>
      </c>
      <c r="C34" s="12">
        <f>RIGHT(A34,3)</f>
        <v/>
      </c>
    </row>
    <row r="36">
      <c r="A36" s="13" t="inlineStr">
        <is>
          <t>💡 HINT: LEFT(A{row}, 5) gets first 5 characters. RIGHT(A{row}, 3) gets last 3. LEFT("john.smith@...", 5) = "john."</t>
        </is>
      </c>
    </row>
    <row r="38">
      <c r="A38" s="9" t="inlineStr">
        <is>
          <t>EXERCISE 4: Extract Middle Section (MID Function)</t>
        </is>
      </c>
    </row>
    <row r="39">
      <c r="A39" s="10" t="inlineStr">
        <is>
          <t>Task: Extract the area code (3 digits) from phone numbers. Assume format: (XXX) XXXXX</t>
        </is>
      </c>
    </row>
    <row r="41">
      <c r="A41" s="14" t="inlineStr">
        <is>
          <t>Phone Number</t>
        </is>
      </c>
      <c r="B41" s="14" t="inlineStr">
        <is>
          <t>Area Code</t>
        </is>
      </c>
    </row>
    <row r="42">
      <c r="A42" s="12" t="inlineStr">
        <is>
          <t>(415) 555-1234</t>
        </is>
      </c>
      <c r="B42" s="12">
        <f>MID(A42,2,3)</f>
        <v/>
      </c>
    </row>
    <row r="43">
      <c r="A43" s="12" t="inlineStr">
        <is>
          <t>(212) 555-5678</t>
        </is>
      </c>
      <c r="B43" s="12">
        <f>MID(A43,2,3)</f>
        <v/>
      </c>
    </row>
    <row r="44">
      <c r="A44" s="12" t="inlineStr">
        <is>
          <t>(310) 555-9999</t>
        </is>
      </c>
      <c r="B44" s="12">
        <f>MID(A44,2,3)</f>
        <v/>
      </c>
    </row>
    <row r="45">
      <c r="A45" s="12" t="inlineStr">
        <is>
          <t>(617) 555-0000</t>
        </is>
      </c>
      <c r="B45" s="12">
        <f>MID(A45,2,3)</f>
        <v/>
      </c>
    </row>
    <row r="47">
      <c r="A47" s="13" t="inlineStr">
        <is>
          <t>💡 HINT: MID(text, start_position, length). Start at position 2 (skip "(" character), extract 3 characters. Result: "415"</t>
        </is>
      </c>
    </row>
    <row r="49">
      <c r="A49" s="9" t="inlineStr">
        <is>
          <t>EXERCISE 5: Find Text Position (FIND, SEARCH)</t>
        </is>
      </c>
    </row>
    <row r="50">
      <c r="A50" s="10" t="inlineStr">
        <is>
          <t>Task: Find the position of the @ symbol in email addresses. Compare FIND vs SEARCH.</t>
        </is>
      </c>
    </row>
    <row r="52">
      <c r="A52" s="15" t="inlineStr">
        <is>
          <t>Email</t>
        </is>
      </c>
      <c r="B52" s="15" t="inlineStr">
        <is>
          <t>Position of @ (FIND)</t>
        </is>
      </c>
      <c r="C52" s="15" t="inlineStr">
        <is>
          <t>Position of @ (SEARCH)</t>
        </is>
      </c>
    </row>
    <row r="53">
      <c r="A53" s="12" t="inlineStr">
        <is>
          <t>john@company.com</t>
        </is>
      </c>
      <c r="B53" s="12">
        <f>FIND("@",A53)</f>
        <v/>
      </c>
      <c r="C53" s="12">
        <f>SEARCH("@",A53)</f>
        <v/>
      </c>
    </row>
    <row r="54">
      <c r="A54" s="12" t="inlineStr">
        <is>
          <t>sarah@business.org</t>
        </is>
      </c>
      <c r="B54" s="12">
        <f>FIND("@",A54)</f>
        <v/>
      </c>
      <c r="C54" s="12">
        <f>SEARCH("@",A54)</f>
        <v/>
      </c>
    </row>
    <row r="55">
      <c r="A55" s="12" t="inlineStr">
        <is>
          <t>michael@mail.io</t>
        </is>
      </c>
      <c r="B55" s="12">
        <f>FIND("@",A55)</f>
        <v/>
      </c>
      <c r="C55" s="12">
        <f>SEARCH("@",A55)</f>
        <v/>
      </c>
    </row>
    <row r="57">
      <c r="A57" s="13" t="inlineStr">
        <is>
          <t>💡 HINT: Both return the position number (e.g., 5). FIND is case-sensitive, SEARCH is not. For @ symbol, both give same result.</t>
        </is>
      </c>
    </row>
    <row r="59">
      <c r="A59" s="9" t="inlineStr">
        <is>
          <t>EXERCISE 6: Change Text Case (UPPER, LOWER, PROPER)</t>
        </is>
      </c>
    </row>
    <row r="60">
      <c r="A60" s="10" t="inlineStr">
        <is>
          <t>Task: Format company names in different cases (uppercase, lowercase, proper case).</t>
        </is>
      </c>
    </row>
    <row r="62">
      <c r="A62" s="14" t="inlineStr">
        <is>
          <t>Original</t>
        </is>
      </c>
      <c r="B62" s="14" t="inlineStr">
        <is>
          <t>UPPER</t>
        </is>
      </c>
      <c r="C62" s="14" t="inlineStr">
        <is>
          <t>LOWER</t>
        </is>
      </c>
      <c r="D62" s="14" t="inlineStr">
        <is>
          <t>PROPER</t>
        </is>
      </c>
    </row>
    <row r="63">
      <c r="A63" s="12" t="inlineStr">
        <is>
          <t>microsoft corporation</t>
        </is>
      </c>
      <c r="B63" s="12">
        <f>UPPER(A63)</f>
        <v/>
      </c>
      <c r="C63" s="12">
        <f>LOWER(A63)</f>
        <v/>
      </c>
      <c r="D63" s="12">
        <f>PROPER(A63)</f>
        <v/>
      </c>
    </row>
    <row r="64">
      <c r="A64" s="12" t="inlineStr">
        <is>
          <t>APPLE INC</t>
        </is>
      </c>
      <c r="B64" s="12">
        <f>UPPER(A64)</f>
        <v/>
      </c>
      <c r="C64" s="12">
        <f>LOWER(A64)</f>
        <v/>
      </c>
      <c r="D64" s="12">
        <f>PROPER(A64)</f>
        <v/>
      </c>
    </row>
    <row r="65">
      <c r="A65" s="12" t="inlineStr">
        <is>
          <t>gOoGlE lLc</t>
        </is>
      </c>
      <c r="B65" s="12">
        <f>UPPER(A65)</f>
        <v/>
      </c>
      <c r="C65" s="12">
        <f>LOWER(A65)</f>
        <v/>
      </c>
      <c r="D65" s="12">
        <f>PROPER(A65)</f>
        <v/>
      </c>
    </row>
    <row r="66">
      <c r="A66" s="12" t="inlineStr">
        <is>
          <t>amazon.com inc</t>
        </is>
      </c>
      <c r="B66" s="12">
        <f>UPPER(A66)</f>
        <v/>
      </c>
      <c r="C66" s="12">
        <f>LOWER(A66)</f>
        <v/>
      </c>
      <c r="D66" s="12">
        <f>PROPER(A66)</f>
        <v/>
      </c>
    </row>
    <row r="68">
      <c r="A68" s="13" t="inlineStr">
        <is>
          <t>💡 HINT: UPPER→all caps, LOWER→all lowercase, PROPER→First Letter Capitalized.</t>
        </is>
      </c>
    </row>
    <row r="70">
      <c r="A70" s="9" t="inlineStr">
        <is>
          <t>EXERCISE 7: Replace Text (SUBSTITUTE Function)</t>
        </is>
      </c>
    </row>
    <row r="71">
      <c r="A71" s="10" t="inlineStr">
        <is>
          <t>Task: Replace old area codes with new area codes in phone numbers.</t>
        </is>
      </c>
    </row>
    <row r="73">
      <c r="A73" s="14" t="inlineStr">
        <is>
          <t>Original Phone</t>
        </is>
      </c>
      <c r="B73" s="14" t="inlineStr">
        <is>
          <t>Updated Phone (415→510)</t>
        </is>
      </c>
    </row>
    <row r="74">
      <c r="A74" s="12" t="inlineStr">
        <is>
          <t>(415) 555-1234</t>
        </is>
      </c>
      <c r="B74" s="12">
        <f>SUBSTITUTE(A74,"415","510")</f>
        <v/>
      </c>
    </row>
    <row r="75">
      <c r="A75" s="12" t="inlineStr">
        <is>
          <t>(415) 555-5678</t>
        </is>
      </c>
      <c r="B75" s="12">
        <f>SUBSTITUTE(A75,"415","510")</f>
        <v/>
      </c>
    </row>
    <row r="76">
      <c r="A76" s="12" t="inlineStr">
        <is>
          <t>(510) 555-9999</t>
        </is>
      </c>
      <c r="B76" s="12">
        <f>SUBSTITUTE(A76,"415","510")</f>
        <v/>
      </c>
    </row>
    <row r="77">
      <c r="A77" s="12" t="inlineStr">
        <is>
          <t>(415) 555-0000</t>
        </is>
      </c>
      <c r="B77" s="12">
        <f>SUBSTITUTE(A77,"415","510")</f>
        <v/>
      </c>
    </row>
    <row r="79">
      <c r="A79" s="13" t="inlineStr">
        <is>
          <t>💡 HINT: =SUBSTITUTE(A{row}, "old_text", "new_text"). Replace ALL occurrences automatically. If area code appears once, it changes once.</t>
        </is>
      </c>
    </row>
    <row r="81">
      <c r="A81" s="9" t="inlineStr">
        <is>
          <t>EXERCISE 8: Remove Extra Spaces (TRIM Function)</t>
        </is>
      </c>
    </row>
    <row r="82">
      <c r="A82" s="10" t="inlineStr">
        <is>
          <t>Task: Clean messy customer names with extra spaces. TRIM removes leading/trailing and extra spaces.</t>
        </is>
      </c>
    </row>
    <row r="84">
      <c r="A84" s="15" t="inlineStr">
        <is>
          <t>Messy Data</t>
        </is>
      </c>
      <c r="B84" s="15" t="inlineStr">
        <is>
          <t>Cleaned (TRIM)</t>
        </is>
      </c>
      <c r="C84" s="15" t="inlineStr">
        <is>
          <t>Character Count Before</t>
        </is>
      </c>
      <c r="D84" s="15" t="inlineStr">
        <is>
          <t>Character Count After</t>
        </is>
      </c>
    </row>
    <row r="85">
      <c r="A85" s="12" t="inlineStr">
        <is>
          <t xml:space="preserve">  John  Smith  </t>
        </is>
      </c>
      <c r="B85" s="12">
        <f>TRIM(A85)</f>
        <v/>
      </c>
      <c r="C85" s="12">
        <f>LEN(A85)</f>
        <v/>
      </c>
      <c r="D85" s="12">
        <f>LEN(TRIM(A85))</f>
        <v/>
      </c>
    </row>
    <row r="86">
      <c r="A86" s="12" t="inlineStr">
        <is>
          <t xml:space="preserve">   Sarah   Johnson </t>
        </is>
      </c>
      <c r="B86" s="12">
        <f>TRIM(A86)</f>
        <v/>
      </c>
      <c r="C86" s="12">
        <f>LEN(A86)</f>
        <v/>
      </c>
      <c r="D86" s="12">
        <f>LEN(TRIM(A86))</f>
        <v/>
      </c>
    </row>
    <row r="87">
      <c r="A87" s="12" t="inlineStr">
        <is>
          <t>Michael    Chen</t>
        </is>
      </c>
      <c r="B87" s="12">
        <f>TRIM(A87)</f>
        <v/>
      </c>
      <c r="C87" s="12">
        <f>LEN(A87)</f>
        <v/>
      </c>
      <c r="D87" s="12">
        <f>LEN(TRIM(A87))</f>
        <v/>
      </c>
    </row>
    <row r="88">
      <c r="A88" s="12" t="inlineStr">
        <is>
          <t xml:space="preserve">Emma  Williams  </t>
        </is>
      </c>
      <c r="B88" s="12">
        <f>TRIM(A88)</f>
        <v/>
      </c>
      <c r="C88" s="12">
        <f>LEN(A88)</f>
        <v/>
      </c>
      <c r="D88" s="12">
        <f>LEN(TRIM(A88))</f>
        <v/>
      </c>
    </row>
    <row r="90">
      <c r="A90" s="13" t="inlineStr">
        <is>
          <t>💡 HINT: TRIM removes leading spaces, trailing spaces, and reduces multiple spaces to one. Essential for data cleaning!</t>
        </is>
      </c>
    </row>
    <row r="92">
      <c r="A92" s="9" t="inlineStr">
        <is>
          <t>EXERCISE 9: Extract Email Username (Combining Functions)</t>
        </is>
      </c>
    </row>
    <row r="93">
      <c r="A93" s="10" t="inlineStr">
        <is>
          <t>Task: Extract the username portion before @ from email addresses. Use LEFT and FIND together.</t>
        </is>
      </c>
    </row>
    <row r="95">
      <c r="A95" s="14" t="inlineStr">
        <is>
          <t>Email</t>
        </is>
      </c>
      <c r="B95" s="14" t="inlineStr">
        <is>
          <t>Username</t>
        </is>
      </c>
      <c r="C95" s="14" t="inlineStr">
        <is>
          <t>Domain</t>
        </is>
      </c>
      <c r="D95" s="14" t="inlineStr">
        <is>
          <t>Position of @</t>
        </is>
      </c>
    </row>
    <row r="96">
      <c r="A96" s="12" t="inlineStr">
        <is>
          <t>john.smith@company.com</t>
        </is>
      </c>
      <c r="B96" s="12">
        <f>LEFT(A96,FIND("@",A96)-1)</f>
        <v/>
      </c>
      <c r="C96" s="12">
        <f>MID(A96,FIND("@",A96)+1,LEN(A96))</f>
        <v/>
      </c>
      <c r="D96" s="12">
        <f>FIND("@",A96)</f>
        <v/>
      </c>
    </row>
    <row r="97">
      <c r="A97" s="12" t="inlineStr">
        <is>
          <t>sarah.j@business.org</t>
        </is>
      </c>
      <c r="B97" s="12">
        <f>LEFT(A97,FIND("@",A97)-1)</f>
        <v/>
      </c>
      <c r="C97" s="12">
        <f>MID(A97,FIND("@",A97)+1,LEN(A97))</f>
        <v/>
      </c>
      <c r="D97" s="12">
        <f>FIND("@",A97)</f>
        <v/>
      </c>
    </row>
    <row r="98">
      <c r="A98" s="12" t="inlineStr">
        <is>
          <t>michael.chen@mail.co.uk</t>
        </is>
      </c>
      <c r="B98" s="12">
        <f>LEFT(A98,FIND("@",A98)-1)</f>
        <v/>
      </c>
      <c r="C98" s="12">
        <f>MID(A98,FIND("@",A98)+1,LEN(A98))</f>
        <v/>
      </c>
      <c r="D98" s="12">
        <f>FIND("@",A98)</f>
        <v/>
      </c>
    </row>
    <row r="100">
      <c r="A100" s="13" t="inlineStr">
        <is>
          <t>💡 HINT: Find @ position, then LEFT to extract everything before it. =LEFT(A{row}, FIND("@",A{row})-1) gets username.</t>
        </is>
      </c>
    </row>
    <row r="102">
      <c r="A102" s="9" t="inlineStr">
        <is>
          <t>EXERCISE 10: Format Full Contact Card (Multiple Functions)</t>
        </is>
      </c>
    </row>
    <row r="103">
      <c r="A103" s="10" t="inlineStr">
        <is>
          <t>Task: Create professional contact cards combining name, phone, email in formatted display.</t>
        </is>
      </c>
    </row>
    <row r="105">
      <c r="A105" s="15" t="inlineStr">
        <is>
          <t>First</t>
        </is>
      </c>
      <c r="B105" s="15" t="inlineStr">
        <is>
          <t>Last</t>
        </is>
      </c>
      <c r="C105" s="15" t="inlineStr">
        <is>
          <t>Phone</t>
        </is>
      </c>
      <c r="D105" s="15" t="inlineStr">
        <is>
          <t>Email</t>
        </is>
      </c>
      <c r="E105" s="15" t="inlineStr">
        <is>
          <t>Formatted Contact Card</t>
        </is>
      </c>
    </row>
    <row r="106" ht="25" customHeight="1">
      <c r="A106" s="12" t="inlineStr">
        <is>
          <t>John</t>
        </is>
      </c>
      <c r="B106" s="12" t="inlineStr">
        <is>
          <t>Smith</t>
        </is>
      </c>
      <c r="C106" s="12" t="inlineStr">
        <is>
          <t>415-555-1234</t>
        </is>
      </c>
      <c r="D106" s="12" t="inlineStr">
        <is>
          <t>john@company.com</t>
        </is>
      </c>
      <c r="E106" s="12">
        <f>PROPER(A106&amp;" "&amp;B106)&amp;" | "&amp;C106&amp;" | "&amp;D106</f>
        <v/>
      </c>
    </row>
    <row r="107" ht="25" customHeight="1">
      <c r="A107" s="12" t="inlineStr">
        <is>
          <t>Sarah</t>
        </is>
      </c>
      <c r="B107" s="12" t="inlineStr">
        <is>
          <t>Johnson</t>
        </is>
      </c>
      <c r="C107" s="12" t="inlineStr">
        <is>
          <t>212-555-5678</t>
        </is>
      </c>
      <c r="D107" s="12" t="inlineStr">
        <is>
          <t>sarah@business.org</t>
        </is>
      </c>
      <c r="E107" s="12">
        <f>PROPER(A107&amp;" "&amp;B107)&amp;" | "&amp;C107&amp;" | "&amp;D107</f>
        <v/>
      </c>
    </row>
    <row r="109">
      <c r="A109" s="13" t="inlineStr">
        <is>
          <t>💡 HINT: Combine PROPER, CONCATENATE (or &amp;), to build formatted output. Result: "John Smith | 415-555-1234 | john@company.com"</t>
        </is>
      </c>
    </row>
  </sheetData>
  <mergeCells count="31">
    <mergeCell ref="A92:H92"/>
    <mergeCell ref="A39:H39"/>
    <mergeCell ref="A15:H15"/>
    <mergeCell ref="A59:H59"/>
    <mergeCell ref="A82:H82"/>
    <mergeCell ref="A60:H60"/>
    <mergeCell ref="A36:H36"/>
    <mergeCell ref="A49:H49"/>
    <mergeCell ref="A1:H1"/>
    <mergeCell ref="A103:H103"/>
    <mergeCell ref="A79:H79"/>
    <mergeCell ref="A70:H70"/>
    <mergeCell ref="A25:H25"/>
    <mergeCell ref="A16:H16"/>
    <mergeCell ref="A90:H90"/>
    <mergeCell ref="A27:H27"/>
    <mergeCell ref="A50:H50"/>
    <mergeCell ref="A3:H3"/>
    <mergeCell ref="A57:H57"/>
    <mergeCell ref="A71:H71"/>
    <mergeCell ref="A47:H47"/>
    <mergeCell ref="A4:H4"/>
    <mergeCell ref="A100:H100"/>
    <mergeCell ref="A109:H109"/>
    <mergeCell ref="A81:H81"/>
    <mergeCell ref="A38:H38"/>
    <mergeCell ref="A28:H28"/>
    <mergeCell ref="A13:H13"/>
    <mergeCell ref="A68:H68"/>
    <mergeCell ref="A102:H102"/>
    <mergeCell ref="A93:H9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SOLUTIONS &amp; EXPLANATIONS</t>
        </is>
      </c>
    </row>
    <row r="3">
      <c r="A3" s="16" t="inlineStr">
        <is>
          <t>SOLUTION 1: Create Full Names (CONCATENATE &amp; &amp; Operator)</t>
        </is>
      </c>
    </row>
    <row r="4">
      <c r="A4" s="17" t="inlineStr">
        <is>
          <t>Formula (Method 1 - CONCATENATE):</t>
        </is>
      </c>
      <c r="B4" s="18">
        <f>CONCATENATE(A1," ",B1)</f>
        <v/>
      </c>
    </row>
    <row r="5">
      <c r="A5" s="17" t="inlineStr">
        <is>
          <t>Formula (Method 2 - &amp; Operator, RECOMMENDED):</t>
        </is>
      </c>
      <c r="B5" s="18">
        <f>A1&amp;" "&amp;B1</f>
        <v/>
      </c>
    </row>
    <row r="6">
      <c r="A6" s="17" t="inlineStr">
        <is>
          <t>Sample Result:</t>
        </is>
      </c>
      <c r="B6" s="19" t="inlineStr">
        <is>
          <t>John Smith</t>
        </is>
      </c>
    </row>
    <row r="7">
      <c r="A7" s="20" t="inlineStr">
        <is>
          <t>Explanation:</t>
        </is>
      </c>
    </row>
    <row r="8" ht="30" customHeight="1">
      <c r="A8" s="21" t="inlineStr">
        <is>
          <t>Both methods work identically. CONCATENATE is legacy function. The &amp; operator is modern, cleaner syntax. Both join "John", " " (space), and "Smith" into "John Smith". The space is crucial to avoid "JohnSmith".</t>
        </is>
      </c>
    </row>
    <row r="9">
      <c r="A9" s="20" t="inlineStr">
        <is>
          <t>Teacher's Comments:</t>
        </is>
      </c>
    </row>
    <row r="10" ht="50" customHeight="1">
      <c r="A10" s="21" t="inlineStr">
        <is>
          <t>• Use &amp; operator (=A1&amp;" "&amp;B1) - it's 10 years more modern than CONCATENATE. Real Excel pros use &amp;.
• Always include the space in quotes: &amp;" "&amp; - forget this and you get "JohnSmith" (wrong).
• Can chain multiple: =A1&amp;" "&amp;B1&amp;", "&amp;C1 for full "John Smith, Analyst" format.
• Shortcut: Press &amp; from keyboard while in formula - much faster than typing CONCATENATE.
• Real scenario: Import raw data with separate first/last names, merge into one column for mail merge.</t>
        </is>
      </c>
    </row>
    <row r="12">
      <c r="A12" s="16" t="inlineStr">
        <is>
          <t>SOLUTION 2: Count Characters (LEN Function)</t>
        </is>
      </c>
    </row>
    <row r="13">
      <c r="A13" s="17" t="inlineStr">
        <is>
          <t>Formula:</t>
        </is>
      </c>
      <c r="B13" s="18">
        <f>LEN(A1)</f>
        <v/>
      </c>
    </row>
    <row r="14">
      <c r="A14" s="17" t="inlineStr">
        <is>
          <t>Sample Results:</t>
        </is>
      </c>
    </row>
    <row r="15">
      <c r="A15" s="22" t="inlineStr">
        <is>
          <t>Product</t>
        </is>
      </c>
      <c r="B15" s="22" t="inlineStr">
        <is>
          <t>Length</t>
        </is>
      </c>
    </row>
    <row r="16">
      <c r="A16" t="inlineStr">
        <is>
          <t>Apple MacBook Pro</t>
        </is>
      </c>
      <c r="B16" s="19" t="n">
        <v>18</v>
      </c>
    </row>
    <row r="17">
      <c r="A17" t="inlineStr">
        <is>
          <t>Dell XPS 13 Laptop</t>
        </is>
      </c>
      <c r="B17" s="19" t="n">
        <v>19</v>
      </c>
    </row>
    <row r="18">
      <c r="A18" t="inlineStr">
        <is>
          <t>Samsung Monitor 27"</t>
        </is>
      </c>
      <c r="B18" s="19" t="n">
        <v>19</v>
      </c>
    </row>
    <row r="20">
      <c r="A20" s="20" t="inlineStr">
        <is>
          <t>Explanation:</t>
        </is>
      </c>
    </row>
    <row r="21" ht="30" customHeight="1">
      <c r="A21" s="21" t="inlineStr">
        <is>
          <t>LEN counts every character including spaces, punctuation, and special characters. "Apple MacBook Pro" has 18 characters: A-p-p-l-e-[space]-M-a-c-B-o-o-k-[space]-P-r-o. The quotes and spaces count!</t>
        </is>
      </c>
    </row>
    <row r="22">
      <c r="A22" s="20" t="inlineStr">
        <is>
          <t>Teacher's Comments:</t>
        </is>
      </c>
    </row>
    <row r="23" ht="50" customHeight="1">
      <c r="A23" s="21" t="inlineStr">
        <is>
          <t>• LEN counts: letters, numbers, spaces, punctuation (everything except invisible characters).
• Common use: Validate data length. Email too short? IF(LEN(email)&lt;5, "Invalid", "Valid")
• Also useful: Prevent text overflow in fixed-width fields (like product codes limited to 10 chars).
• Tip: LEN("") = 0 (empty cell), LEN(" ") = 1 (space only), LEN("123") = 3.
• Real scenario: Data quality check - if product names are under 3 chars or over 50, flag as suspicious.</t>
        </is>
      </c>
    </row>
    <row r="25">
      <c r="A25" s="16" t="inlineStr">
        <is>
          <t>SOLUTION 3: Extract First &amp; Last Characters (LEFT, RIGHT)</t>
        </is>
      </c>
    </row>
    <row r="26">
      <c r="A26" s="17" t="inlineStr">
        <is>
          <t>Formula (LEFT):</t>
        </is>
      </c>
      <c r="B26" s="18">
        <f>LEFT(A1, 5)</f>
        <v/>
      </c>
    </row>
    <row r="27">
      <c r="A27" s="17" t="inlineStr">
        <is>
          <t>Formula (RIGHT):</t>
        </is>
      </c>
      <c r="B27" s="18">
        <f>RIGHT(A1, 3)</f>
        <v/>
      </c>
    </row>
    <row r="28">
      <c r="A28" s="17" t="inlineStr">
        <is>
          <t>Example:</t>
        </is>
      </c>
    </row>
    <row r="29">
      <c r="A29" s="22" t="inlineStr">
        <is>
          <t>Email</t>
        </is>
      </c>
      <c r="B29" s="22" t="inlineStr">
        <is>
          <t>LEFT(,5)</t>
        </is>
      </c>
      <c r="C29" s="22" t="inlineStr">
        <is>
          <t>RIGHT(,3)</t>
        </is>
      </c>
    </row>
    <row r="30">
      <c r="A30" t="inlineStr">
        <is>
          <t>john.smith@company.com</t>
        </is>
      </c>
      <c r="B30" s="19" t="inlineStr">
        <is>
          <t>john.</t>
        </is>
      </c>
      <c r="C30" s="19" t="inlineStr">
        <is>
          <t>com</t>
        </is>
      </c>
    </row>
    <row r="31">
      <c r="A31" s="20" t="inlineStr">
        <is>
          <t>Explanation:</t>
        </is>
      </c>
    </row>
    <row r="32" ht="30" customHeight="1">
      <c r="A32" s="21" t="inlineStr">
        <is>
          <t>LEFT extracts from the beginning (leftmost characters). RIGHT extracts from the end (rightmost characters). LEFT(text, 5) takes first 5 chars, RIGHT(text, 3) takes last 3 chars.</t>
        </is>
      </c>
    </row>
    <row r="33">
      <c r="A33" s="20" t="inlineStr">
        <is>
          <t>Teacher's Comments:</t>
        </is>
      </c>
    </row>
    <row r="34" ht="50" customHeight="1">
      <c r="A34" s="21" t="inlineStr">
        <is>
          <t>• LEFT and RIGHT are directional: LEFT=beginning, RIGHT=end, MID=middle.
• Syntax: LEFT(text, num_chars), RIGHT(text, num_chars) - always needs the character count.
• Useful for: Extract initials, get file extensions, grab area codes, isolate domain extensions (com, org, net).
• Common mistake: RIGHT("john@company.com", 20) returns entire string if string is shorter than 20 chars.
• Real scenario: Extract company domain extensions. RIGHT(email, 3) on all emails to see how many .com vs .org vs .net.</t>
        </is>
      </c>
    </row>
    <row r="36">
      <c r="A36" s="16" t="inlineStr">
        <is>
          <t>SOLUTION 4: Extract Middle Section (MID Function)</t>
        </is>
      </c>
    </row>
    <row r="37">
      <c r="A37" s="17" t="inlineStr">
        <is>
          <t>Formula:</t>
        </is>
      </c>
      <c r="B37" s="18">
        <f>MID(A1, 2, 3)</f>
        <v/>
      </c>
    </row>
    <row r="38">
      <c r="A38" s="17" t="inlineStr">
        <is>
          <t>Example:</t>
        </is>
      </c>
    </row>
    <row r="39">
      <c r="A39" s="22" t="inlineStr">
        <is>
          <t>Phone</t>
        </is>
      </c>
      <c r="B39" s="22" t="inlineStr">
        <is>
          <t>Area Code</t>
        </is>
      </c>
    </row>
    <row r="40">
      <c r="A40" t="inlineStr">
        <is>
          <t>(415) 555-1234</t>
        </is>
      </c>
      <c r="B40" s="19" t="inlineStr">
        <is>
          <t>415</t>
        </is>
      </c>
    </row>
    <row r="41">
      <c r="A41" s="20" t="inlineStr">
        <is>
          <t>Explanation:</t>
        </is>
      </c>
    </row>
    <row r="42" ht="30" customHeight="1">
      <c r="A42" s="21" t="inlineStr">
        <is>
          <t>MID(text, start_position, length) extracts a substring from the middle. Start at position 2 (skip the "(" at position 1), extract 3 characters = "415". Position 1 is the first character!</t>
        </is>
      </c>
    </row>
    <row r="43">
      <c r="A43" s="20" t="inlineStr">
        <is>
          <t>Teacher's Comments:</t>
        </is>
      </c>
    </row>
    <row r="44" ht="50" customHeight="1">
      <c r="A44" s="21" t="inlineStr">
        <is>
          <t>• MID is powerful for fixed-width data formats (common in old systems/bank data).
• Syntax: MID(text, start_position, length). Start position 1 = first character (not 0).
• Example: Product code "ABC-2024-RED" → MID(..., 1, 3) = "ABC", MID(..., 5, 4) = "2024", MID(..., 10, 3) = "RED".
• Combine with LEN: MID(A1, 5, LEN(A1)) extracts everything from position 5 to end.
• Real scenario: Parse fixed-format customer IDs, extract dates from legacy systems, break down product codes.</t>
        </is>
      </c>
    </row>
    <row r="46">
      <c r="A46" s="16" t="inlineStr">
        <is>
          <t>SOLUTION 5: Find Text Position (FIND, SEARCH)</t>
        </is>
      </c>
    </row>
    <row r="47">
      <c r="A47" s="17" t="inlineStr">
        <is>
          <t>Formula (FIND - case sensitive):</t>
        </is>
      </c>
      <c r="B47" s="18">
        <f>FIND("@", A1)</f>
        <v/>
      </c>
    </row>
    <row r="48">
      <c r="A48" s="17" t="inlineStr">
        <is>
          <t>Formula (SEARCH - case insensitive):</t>
        </is>
      </c>
      <c r="B48" s="18">
        <f>SEARCH("@", A1)</f>
        <v/>
      </c>
    </row>
    <row r="49">
      <c r="A49" s="17" t="inlineStr">
        <is>
          <t>Example:</t>
        </is>
      </c>
    </row>
    <row r="50">
      <c r="A50" s="22" t="inlineStr">
        <is>
          <t>Email</t>
        </is>
      </c>
      <c r="B50" s="22" t="inlineStr">
        <is>
          <t>Position of @</t>
        </is>
      </c>
    </row>
    <row r="51">
      <c r="A51" t="inlineStr">
        <is>
          <t>john@company.com</t>
        </is>
      </c>
      <c r="B51" s="19" t="inlineStr">
        <is>
          <t>5</t>
        </is>
      </c>
    </row>
    <row r="52">
      <c r="A52" s="20" t="inlineStr">
        <is>
          <t>Explanation:</t>
        </is>
      </c>
    </row>
    <row r="53" ht="30" customHeight="1">
      <c r="A53" s="21" t="inlineStr">
        <is>
          <t>FIND and SEARCH return the position (character number) of the first match. In "john@company.com", @ is at position 5 (j=1, o=2, h=3, n=4, @=5). For @, both FIND and SEARCH return same result since case doesn't matter for symbols.</t>
        </is>
      </c>
    </row>
    <row r="54">
      <c r="A54" s="20" t="inlineStr">
        <is>
          <t>Teacher's Comments:</t>
        </is>
      </c>
    </row>
    <row r="55" ht="50" customHeight="1">
      <c r="A55" s="21" t="inlineStr">
        <is>
          <t>• Key difference: FIND("Hello", text) ≠ FIND("hello", text) (case-sensitive). SEARCH ignores case.
• Position counting starts at 1, not 0. First character = position 1.
• Both return #VALUE! error if text not found. Handle with IF or IFERROR: =IFERROR(FIND("@",A1), "Not found")
• Common use: Validate format (if FIND("@", email) returns number, email has @ symbol).
• Real scenario: Email validation - check if @ exists and position is reasonable. No @ = error, @ at position 1 = suspicious.</t>
        </is>
      </c>
    </row>
    <row r="57">
      <c r="A57" s="16" t="inlineStr">
        <is>
          <t>SOLUTION 6: Change Text Case (UPPER, LOWER, PROPER)</t>
        </is>
      </c>
    </row>
    <row r="58">
      <c r="A58" s="17" t="inlineStr">
        <is>
          <t>Formulas:</t>
        </is>
      </c>
    </row>
    <row r="59">
      <c r="A59" t="inlineStr">
        <is>
          <t>UPPER:</t>
        </is>
      </c>
      <c r="B59" s="23">
        <f>UPPER(A1)</f>
        <v/>
      </c>
    </row>
    <row r="60">
      <c r="A60" t="inlineStr">
        <is>
          <t>LOWER:</t>
        </is>
      </c>
      <c r="B60" s="23">
        <f>LOWER(A1)</f>
        <v/>
      </c>
    </row>
    <row r="61">
      <c r="A61" t="inlineStr">
        <is>
          <t>PROPER:</t>
        </is>
      </c>
      <c r="B61" s="23">
        <f>PROPER(A1)</f>
        <v/>
      </c>
    </row>
    <row r="63">
      <c r="A63" s="17" t="inlineStr">
        <is>
          <t>Example Results:</t>
        </is>
      </c>
    </row>
    <row r="64">
      <c r="A64" s="22" t="inlineStr">
        <is>
          <t>Original</t>
        </is>
      </c>
      <c r="B64" s="22" t="inlineStr">
        <is>
          <t>UPPER</t>
        </is>
      </c>
      <c r="C64" s="22" t="inlineStr">
        <is>
          <t>LOWER</t>
        </is>
      </c>
      <c r="D64" s="22" t="inlineStr">
        <is>
          <t>PROPER</t>
        </is>
      </c>
    </row>
    <row r="65">
      <c r="A65" s="19" t="inlineStr">
        <is>
          <t>microsoft corporation</t>
        </is>
      </c>
      <c r="B65" s="19" t="inlineStr">
        <is>
          <t>MICROSOFT CORPORATION</t>
        </is>
      </c>
      <c r="C65" s="19" t="inlineStr">
        <is>
          <t>microsoft corporation</t>
        </is>
      </c>
      <c r="D65" s="19" t="inlineStr">
        <is>
          <t>Microsoft Corporation</t>
        </is>
      </c>
    </row>
    <row r="66">
      <c r="A66" s="20" t="inlineStr">
        <is>
          <t>Explanation:</t>
        </is>
      </c>
    </row>
    <row r="67" ht="30" customHeight="1">
      <c r="A67" s="21" t="inlineStr">
        <is>
          <t>Three case-conversion functions: UPPER converts ALL to uppercase, LOWER converts all to lowercase, PROPER converts to Title Case (first letter of each word capitalized). Useful for standardizing messy data.</t>
        </is>
      </c>
    </row>
    <row r="68">
      <c r="A68" s="20" t="inlineStr">
        <is>
          <t>Teacher's Comments:</t>
        </is>
      </c>
    </row>
    <row r="69" ht="50" customHeight="1">
      <c r="A69" s="21" t="inlineStr">
        <is>
          <t>• PROPER useful for names/titles: convert user input "john smith" → "John Smith".
• UPPER for all-caps formatting (e.g., US state codes "ca" → "CA").
• LOWER for standardization: case-insensitive comparisons "John" vs "JOHN" both become "john".
• PROPER has quirk: converts "O'Brien" → "O'brien" (not ideal for names with apostrophes).
• Real scenario: Import customer data with mixed cases, standardize with PROPER before mail merge. Looks unprofessional if emails start "Dear john" instead of "Dear John".
• Chain with TRIM for data cleanup: =PROPER(TRIM(A1)) removes spaces AND fixes case.</t>
        </is>
      </c>
    </row>
    <row r="71">
      <c r="A71" s="16" t="inlineStr">
        <is>
          <t>SOLUTION 7: Replace Text (SUBSTITUTE Function)</t>
        </is>
      </c>
    </row>
    <row r="72">
      <c r="A72" s="17" t="inlineStr">
        <is>
          <t>Formula:</t>
        </is>
      </c>
      <c r="B72" s="23">
        <f>SUBSTITUTE(A1, "415", "510")</f>
        <v/>
      </c>
    </row>
    <row r="73">
      <c r="A73" s="17" t="inlineStr">
        <is>
          <t>Example:</t>
        </is>
      </c>
    </row>
    <row r="74">
      <c r="A74" s="22" t="inlineStr">
        <is>
          <t>Original</t>
        </is>
      </c>
      <c r="B74" s="22" t="inlineStr">
        <is>
          <t>After SUBSTITUTE</t>
        </is>
      </c>
    </row>
    <row r="75">
      <c r="A75" t="inlineStr">
        <is>
          <t>(415) 555-1234</t>
        </is>
      </c>
      <c r="B75" s="19" t="inlineStr">
        <is>
          <t>(510) 555-1234</t>
        </is>
      </c>
    </row>
    <row r="76">
      <c r="A76" s="20" t="inlineStr">
        <is>
          <t>Explanation:</t>
        </is>
      </c>
    </row>
    <row r="77" ht="30" customHeight="1">
      <c r="A77" s="21" t="inlineStr">
        <is>
          <t>SUBSTITUTE replaces all occurrences of old text with new text. Syntax: SUBSTITUTE(text, old, new, [instance]). Without instance parameter, replaces ALL occurrences. Replaces "415" with "510" everywhere in the string.</t>
        </is>
      </c>
    </row>
    <row r="78">
      <c r="A78" s="20" t="inlineStr">
        <is>
          <t>Teacher's Comments:</t>
        </is>
      </c>
    </row>
    <row r="79" ht="50" customHeight="1">
      <c r="A79" s="21" t="inlineStr">
        <is>
          <t>• SUBSTITUTE is case-sensitive: SUBSTITUTE("Hello", "h", "H") returns unchanged (h ≠ H).
• Optional 4th parameter for instance: SUBSTITUTE(A1, "o", "0", 1) replaces only first "o".
• Perfect for: Find-and-replace operations, standardizing abbreviations (St. → Street), bulk corrections.
• Real scenario: Fix typos. SUBSTITUTE(A1, "recieve", "receive") corrects common misspelling in whole column.
• vs REPLACE: REPLACE finds by position (1st char, 5 chars long). SUBSTITUTE finds by exact match.
• Chain multiple: =SUBSTITUTE(SUBSTITUTE(A1, "old1", "new1"), "old2", "new2") for multiple replacements.</t>
        </is>
      </c>
    </row>
    <row r="81">
      <c r="A81" s="16" t="inlineStr">
        <is>
          <t>SOLUTION 8: Remove Extra Spaces (TRIM Function)</t>
        </is>
      </c>
    </row>
    <row r="82">
      <c r="A82" s="17" t="inlineStr">
        <is>
          <t>Formula:</t>
        </is>
      </c>
      <c r="B82" s="18">
        <f>TRIM(A1)</f>
        <v/>
      </c>
    </row>
    <row r="83">
      <c r="A83" s="17" t="inlineStr">
        <is>
          <t>Example:</t>
        </is>
      </c>
    </row>
    <row r="84">
      <c r="A84" s="24" t="inlineStr">
        <is>
          <t>Before TRIM</t>
        </is>
      </c>
      <c r="B84" s="24" t="inlineStr">
        <is>
          <t>After TRIM</t>
        </is>
      </c>
      <c r="C84" s="24" t="inlineStr">
        <is>
          <t>Char Count Change</t>
        </is>
      </c>
    </row>
    <row r="85">
      <c r="A85" t="inlineStr">
        <is>
          <t xml:space="preserve">  John  Smith  </t>
        </is>
      </c>
      <c r="B85" s="19" t="inlineStr">
        <is>
          <t>John Smith</t>
        </is>
      </c>
      <c r="C85" s="19" t="inlineStr">
        <is>
          <t>15 → 10 chars</t>
        </is>
      </c>
    </row>
    <row r="86">
      <c r="A86" s="20" t="inlineStr">
        <is>
          <t>Explanation:</t>
        </is>
      </c>
    </row>
    <row r="87" ht="30" customHeight="1">
      <c r="A87" s="21" t="inlineStr">
        <is>
          <t>TRIM removes leading spaces (before text), trailing spaces (after text), and reduces multiple spaces between words to single space. Goes from "  John  Smith  " (15 chars) to "John Smith" (10 chars). Essential for cleaning imported data.</t>
        </is>
      </c>
    </row>
    <row r="88">
      <c r="A88" s="20" t="inlineStr">
        <is>
          <t>Teacher's Comments:</t>
        </is>
      </c>
    </row>
    <row r="89" ht="50" customHeight="1">
      <c r="A89" s="21" t="inlineStr">
        <is>
          <t>• First step in ANY data cleaning process: =TRIM(A1).
• Why important: Extra spaces break exact-match lookups. "John" ≠ " John " (Excel sees them as different).
• TRIM only removes regular spaces. Tabs and special whitespace need CLEAN function.
• Combine: =PROPER(TRIM(A1)) for full cleanup (removes spaces AND fixes case).
• Real scenario: Import from old system, data has inconsistent spacing, exact matches fail. TRIM fixes instantly.
• Copy results: After using TRIM, copy the cleaned column and Paste Special &gt; Values to replace originals (formulas create dependencies).</t>
        </is>
      </c>
    </row>
    <row r="91">
      <c r="A91" s="16" t="inlineStr">
        <is>
          <t>SOLUTION 9: Extract Email Username (Combining Functions)</t>
        </is>
      </c>
    </row>
    <row r="92">
      <c r="A92" s="17" t="inlineStr">
        <is>
          <t>Formula for Username:</t>
        </is>
      </c>
      <c r="B92" s="23">
        <f>LEFT(A1, FIND("@", A1)-1)</f>
        <v/>
      </c>
    </row>
    <row r="93">
      <c r="A93" s="17" t="inlineStr">
        <is>
          <t>Formula for Domain:</t>
        </is>
      </c>
      <c r="B93" s="23">
        <f>MID(A1, FIND("@", A1)+1, LEN(A1))</f>
        <v/>
      </c>
    </row>
    <row r="95">
      <c r="A95" s="17" t="inlineStr">
        <is>
          <t>Example:</t>
        </is>
      </c>
    </row>
    <row r="96">
      <c r="A96" s="22" t="inlineStr">
        <is>
          <t>Email</t>
        </is>
      </c>
      <c r="B96" s="22" t="inlineStr">
        <is>
          <t>Username</t>
        </is>
      </c>
      <c r="C96" s="22" t="inlineStr">
        <is>
          <t>Domain</t>
        </is>
      </c>
    </row>
    <row r="97">
      <c r="A97" t="inlineStr">
        <is>
          <t>john.smith@company.com</t>
        </is>
      </c>
      <c r="B97" s="19" t="inlineStr">
        <is>
          <t>john.smith</t>
        </is>
      </c>
      <c r="C97" s="19" t="inlineStr">
        <is>
          <t>company.com</t>
        </is>
      </c>
    </row>
    <row r="98">
      <c r="A98" s="20" t="inlineStr">
        <is>
          <t>Explanation:</t>
        </is>
      </c>
    </row>
    <row r="99" ht="30" customHeight="1">
      <c r="A99" s="21" t="inlineStr">
        <is>
          <t>This combines FIND (locate @), LEFT/MID (extract), and LEN (count). Step 1: Find @ position. Step 2: LEFT extracts everything before @. Step 3: MID extracts everything after @. Powerful example of nested functions working together.</t>
        </is>
      </c>
    </row>
    <row r="100">
      <c r="A100" s="20" t="inlineStr">
        <is>
          <t>Teacher's Comments:</t>
        </is>
      </c>
    </row>
    <row r="101" ht="50" customHeight="1">
      <c r="A101" s="21" t="inlineStr">
        <is>
          <t>• Breaking it down: FIND("@", A1) returns position (e.g., 11). LEFT(A1, 11-1) gets first 10 chars = username.
• Advanced technique: Nesting functions (FIND inside LEFT).
• Error handling: If no @ symbol, FIND returns #VALUE! error. Wrap in IFERROR: =IFERROR(LEFT(...), "Invalid email")
• Real scenario: Parse company email list to extract usernames for creating login IDs or extract domains to see which companies use which email providers.
• Alternative using REGEX (Excel 365): =REGEX(A1, "(.+)@(.+)", 1) and 2 for domain (much cleaner but newer feature).</t>
        </is>
      </c>
    </row>
    <row r="103">
      <c r="A103" s="16" t="inlineStr">
        <is>
          <t>SOLUTION 10: Format Full Contact Card (Multiple Functions)</t>
        </is>
      </c>
    </row>
    <row r="104">
      <c r="A104" s="17" t="inlineStr">
        <is>
          <t>Formula:</t>
        </is>
      </c>
      <c r="B104" s="25">
        <f>PROPER(A1&amp;" "&amp;B1)&amp;" | "&amp;C1&amp;" | "&amp;D1</f>
        <v/>
      </c>
    </row>
    <row r="106">
      <c r="A106" s="17" t="inlineStr">
        <is>
          <t>Result Example:</t>
        </is>
      </c>
      <c r="B106" s="26" t="inlineStr">
        <is>
          <t>John Smith | 415-555-1234 | john@company.com</t>
        </is>
      </c>
    </row>
    <row r="107">
      <c r="A107" s="20" t="inlineStr">
        <is>
          <t>Explanation:</t>
        </is>
      </c>
    </row>
    <row r="108" ht="30" customHeight="1">
      <c r="A108" s="21" t="inlineStr">
        <is>
          <t>This demonstrates combining 4+ functions: PROPER fixes the name case, &amp; operators concatenate first/last name with space, then pipe separators (|) organize data into readable format. Outputs professional contact card in one formula.</t>
        </is>
      </c>
    </row>
    <row r="109">
      <c r="A109" s="20" t="inlineStr">
        <is>
          <t>Teacher's Comments:</t>
        </is>
      </c>
    </row>
    <row r="110" ht="50" customHeight="1">
      <c r="A110" s="21" t="inlineStr">
        <is>
          <t>• This is advanced nesting: PROPER(CONCATENATE(A1,B1)) wraps concatenation inside PROPER.
• Order matters: A&amp;" "&amp;B concatenates first, PROPER applies to result, then append phone and email.
• Real scenario: Generate formatted output for mail merge, reports, or customer communication. Instead of manual formatting, one formula handles it.
• Pro tip: Store separator in cell (e.g., C1=" | "), then use &amp;C1&amp; instead of hardcoding separator.
• Extension: Add TRIM to handle inconsistent input: =PROPER(TRIM(A1)&amp;" "&amp;TRIM(B1))&amp;" | "&amp;TRIM(C1)&amp;" | "&amp;TRIM(D1)
• Validation: Combine with IF to check if data exists before concatenating: =IF(A1="", "Missing", formula)</t>
        </is>
      </c>
    </row>
  </sheetData>
  <mergeCells count="31">
    <mergeCell ref="A67:H67"/>
    <mergeCell ref="A77:H77"/>
    <mergeCell ref="A36:H36"/>
    <mergeCell ref="A1:H1"/>
    <mergeCell ref="A103:H103"/>
    <mergeCell ref="A110:H110"/>
    <mergeCell ref="A79:H79"/>
    <mergeCell ref="A69:H69"/>
    <mergeCell ref="A87:H87"/>
    <mergeCell ref="A25:H25"/>
    <mergeCell ref="A99:H99"/>
    <mergeCell ref="A108:H108"/>
    <mergeCell ref="A46:H46"/>
    <mergeCell ref="A89:H89"/>
    <mergeCell ref="A12:H12"/>
    <mergeCell ref="A3:H3"/>
    <mergeCell ref="A21:H21"/>
    <mergeCell ref="A101:H101"/>
    <mergeCell ref="A55:H55"/>
    <mergeCell ref="A57:H57"/>
    <mergeCell ref="A71:H71"/>
    <mergeCell ref="A42:H42"/>
    <mergeCell ref="A23:H23"/>
    <mergeCell ref="A32:H32"/>
    <mergeCell ref="A8:H8"/>
    <mergeCell ref="A53:H53"/>
    <mergeCell ref="A91:H91"/>
    <mergeCell ref="A81:H81"/>
    <mergeCell ref="A10:H10"/>
    <mergeCell ref="A44:H44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2025-12-07T08:02:22Z</dcterms:created>
  <dcterms:modified xmlns:dcterms="http://purl.org/dc/terms/" xmlns:xsi="http://www.w3.org/2001/XMLSchema-instance" xsi:type="dcterms:W3CDTF">2025-12-07T08:03:57Z</dcterms:modified>
</cp:coreProperties>
</file>