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mm/dd/yyyy"/>
    <numFmt numFmtId="167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0070C0"/>
      <sz val="14"/>
    </font>
    <font>
      <name val="Calibri"/>
      <i val="1"/>
      <color rgb="00666666"/>
      <sz val="11"/>
    </font>
    <font>
      <name val="Calibri"/>
      <b val="1"/>
      <color rgb="000070C0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0070C0"/>
    </font>
  </fonts>
  <fills count="9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0070C0"/>
        <bgColor rgb="000070C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3" fillId="6" borderId="0" pivotButton="0" quotePrefix="0" xfId="0"/>
    <xf numFmtId="0" fontId="9" fillId="0" borderId="0" pivotButton="0" quotePrefix="0" xfId="0"/>
    <xf numFmtId="0" fontId="10" fillId="7" borderId="0" applyAlignment="1" pivotButton="0" quotePrefix="0" xfId="0">
      <alignment wrapText="1"/>
    </xf>
    <xf numFmtId="0" fontId="0" fillId="8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DATA CLEANING &amp; QUALITY ASSURANCE</t>
        </is>
      </c>
    </row>
    <row r="2">
      <c r="A2" s="2" t="inlineStr">
        <is>
          <t>Prepare Data for Analysis: Clean, Validate, Standardize Your Datasets</t>
        </is>
      </c>
    </row>
    <row r="4">
      <c r="A4" s="3" t="inlineStr">
        <is>
          <t>LEARNING OBJECTIVES</t>
        </is>
      </c>
    </row>
    <row r="5">
      <c r="A5" s="4" t="inlineStr">
        <is>
          <t>✓ Remove duplicate records (exact duplicates and near-duplicates)</t>
        </is>
      </c>
    </row>
    <row r="6">
      <c r="A6" s="4" t="inlineStr">
        <is>
          <t>✓ Handle missing and blank data (empty cells, N/A, null values)</t>
        </is>
      </c>
    </row>
    <row r="7">
      <c r="A7" s="4" t="inlineStr">
        <is>
          <t>✓ Identify and fix inconsistent data formats and typos</t>
        </is>
      </c>
    </row>
    <row r="8">
      <c r="A8" s="4" t="inlineStr">
        <is>
          <t>✓ Standardize text (trim spaces, case conversion, special characters)</t>
        </is>
      </c>
    </row>
    <row r="9">
      <c r="A9" s="4" t="inlineStr">
        <is>
          <t>✓ Validate data types and ranges (numbers, dates, text length)</t>
        </is>
      </c>
    </row>
    <row r="10">
      <c r="A10" s="4" t="inlineStr">
        <is>
          <t>✓ Detect outliers and anomalies in numeric data</t>
        </is>
      </c>
    </row>
    <row r="11">
      <c r="A11" s="4" t="inlineStr">
        <is>
          <t>✓ Apply data quality rules and checks across datasets</t>
        </is>
      </c>
    </row>
    <row r="12">
      <c r="A12" s="4" t="inlineStr">
        <is>
          <t>✓ Document data cleaning process and transformations</t>
        </is>
      </c>
    </row>
    <row r="14">
      <c r="A14" s="3" t="inlineStr">
        <is>
          <t>CORE DATA CLEANING TECHNIQUES</t>
        </is>
      </c>
    </row>
    <row r="15">
      <c r="A15" s="5" t="inlineStr">
        <is>
          <t>Technique</t>
        </is>
      </c>
      <c r="B15" s="5" t="inlineStr">
        <is>
          <t>Formula/Tool</t>
        </is>
      </c>
      <c r="C15" s="5" t="inlineStr">
        <is>
          <t>Purpose</t>
        </is>
      </c>
      <c r="D15" s="5" t="inlineStr">
        <is>
          <t>Impact</t>
        </is>
      </c>
    </row>
    <row r="16">
      <c r="A16" s="5" t="inlineStr">
        <is>
          <t>Remove Duplicates</t>
        </is>
      </c>
      <c r="B16" s="5" t="inlineStr">
        <is>
          <t>Data &gt; Remove Duplicates (ribbon)</t>
        </is>
      </c>
      <c r="C16" s="5" t="inlineStr">
        <is>
          <t>Delete exact duplicate rows</t>
        </is>
      </c>
      <c r="D16" s="5" t="inlineStr">
        <is>
          <t>Reduce dataset size, improve accuracy</t>
        </is>
      </c>
    </row>
    <row r="17">
      <c r="A17" s="5" t="inlineStr">
        <is>
          <t>Trim Spaces</t>
        </is>
      </c>
      <c r="B17" s="5">
        <f>TRIM(A1)</f>
        <v/>
      </c>
      <c r="C17" s="5" t="inlineStr">
        <is>
          <t>Remove leading/trailing spaces</t>
        </is>
      </c>
      <c r="D17" s="5" t="inlineStr">
        <is>
          <t>Fix matching issues, standardize</t>
        </is>
      </c>
    </row>
    <row r="18">
      <c r="A18" s="5" t="inlineStr">
        <is>
          <t>Case Conversion</t>
        </is>
      </c>
      <c r="B18" s="5">
        <f>UPPER(A1), =LOWER(A1), =PROPER(A1)</f>
        <v/>
      </c>
      <c r="C18" s="5" t="inlineStr">
        <is>
          <t>Standardize text case</t>
        </is>
      </c>
      <c r="D18" s="5" t="inlineStr">
        <is>
          <t>Improve lookups, comparisons</t>
        </is>
      </c>
    </row>
    <row r="19">
      <c r="A19" s="5" t="inlineStr">
        <is>
          <t>Find &amp; Replace</t>
        </is>
      </c>
      <c r="B19" s="5" t="inlineStr">
        <is>
          <t>Ctrl+H (Find &amp; Replace dialog)</t>
        </is>
      </c>
      <c r="C19" s="5" t="inlineStr">
        <is>
          <t>Replace text values, fix typos</t>
        </is>
      </c>
      <c r="D19" s="5" t="inlineStr">
        <is>
          <t>Standardize entries, fix errors</t>
        </is>
      </c>
    </row>
    <row r="20">
      <c r="A20" s="5" t="inlineStr">
        <is>
          <t>Remove Special Chars</t>
        </is>
      </c>
      <c r="B20" s="5">
        <f>SUBSTITUTE(A1, special_char, "")</f>
        <v/>
      </c>
      <c r="C20" s="5" t="inlineStr">
        <is>
          <t>Delete unwanted characters</t>
        </is>
      </c>
      <c r="D20" s="5" t="inlineStr">
        <is>
          <t>Clean data, reduce errors</t>
        </is>
      </c>
    </row>
    <row r="21">
      <c r="A21" s="5" t="inlineStr">
        <is>
          <t>Handle Missing Data</t>
        </is>
      </c>
      <c r="B21" s="5">
        <f>IF(ISBLANK(A1), "N/A", A1)</f>
        <v/>
      </c>
      <c r="C21" s="5" t="inlineStr">
        <is>
          <t>Replace blanks with default value</t>
        </is>
      </c>
      <c r="D21" s="5" t="inlineStr">
        <is>
          <t>Enable formulas, fill gaps</t>
        </is>
      </c>
    </row>
    <row r="22">
      <c r="A22" s="5" t="inlineStr">
        <is>
          <t>Detect Outliers</t>
        </is>
      </c>
      <c r="B22" s="5">
        <f>IF(A1&gt;AVERAGE+2*STDEV, "Outlier", "Normal")</f>
        <v/>
      </c>
      <c r="C22" s="5" t="inlineStr">
        <is>
          <t>Identify unusual values</t>
        </is>
      </c>
      <c r="D22" s="5" t="inlineStr">
        <is>
          <t>Find data entry errors, anomalies</t>
        </is>
      </c>
    </row>
    <row r="23">
      <c r="A23" s="5" t="inlineStr">
        <is>
          <t>Validate Data Type</t>
        </is>
      </c>
      <c r="B23" s="5">
        <f>ISNUMBER(A1), =ISTEXT(A1), =ISDATE(A1)</f>
        <v/>
      </c>
      <c r="C23" s="5" t="inlineStr">
        <is>
          <t>Confirm data is correct type</t>
        </is>
      </c>
      <c r="D23" s="5" t="inlineStr">
        <is>
          <t>Prevent formula errors</t>
        </is>
      </c>
    </row>
    <row r="24">
      <c r="A24" s="5" t="inlineStr">
        <is>
          <t>Standardize Dates</t>
        </is>
      </c>
      <c r="B24" s="5">
        <f>TEXT(A1, "MM/DD/YYYY")</f>
        <v/>
      </c>
      <c r="C24" s="5" t="inlineStr">
        <is>
          <t>Format dates consistently</t>
        </is>
      </c>
      <c r="D24" s="5" t="inlineStr">
        <is>
          <t>Enable date calculations</t>
        </is>
      </c>
    </row>
    <row r="26">
      <c r="A26" s="3" t="inlineStr">
        <is>
          <t>KEY CONCEPTS FOR DATA CLEANING</t>
        </is>
      </c>
    </row>
    <row r="27">
      <c r="A27" s="6" t="inlineStr">
        <is>
          <t>GARBAGE IN = GARBAGE OUT</t>
        </is>
      </c>
    </row>
    <row r="28" ht="25" customHeight="1">
      <c r="A28" s="7" t="inlineStr">
        <is>
          <t>Bad input data = bad analysis. Cleaning is 80% of data work. Every analyst spends more time cleaning than analyzing.</t>
        </is>
      </c>
    </row>
    <row r="29">
      <c r="A29" s="6" t="inlineStr">
        <is>
          <t>TRIM VS SPACES</t>
        </is>
      </c>
    </row>
    <row r="30" ht="25" customHeight="1">
      <c r="A30" s="7" t="inlineStr">
        <is>
          <t>TRIM removes leading/trailing spaces. Names like ' John ' become 'John'. Critical for VLOOKUP to work correctly.</t>
        </is>
      </c>
    </row>
    <row r="31">
      <c r="A31" s="6" t="inlineStr">
        <is>
          <t>CASE SENSITIVITY</t>
        </is>
      </c>
    </row>
    <row r="32" ht="25" customHeight="1">
      <c r="A32" s="7" t="inlineStr">
        <is>
          <t>UPPER/LOWER/PROPER standardize case. 'john smith' ≠ 'JOHN SMITH' to eyes but same to VLOOKUP (case-insensitive).</t>
        </is>
      </c>
    </row>
    <row r="33">
      <c r="A33" s="6" t="inlineStr">
        <is>
          <t>DUPLICATES</t>
        </is>
      </c>
    </row>
    <row r="34" ht="25" customHeight="1">
      <c r="A34" s="7" t="inlineStr">
        <is>
          <t>Remove exact duplicates (entire row identical). Near-duplicates harder (fuzzy matching, manual review needed).</t>
        </is>
      </c>
    </row>
    <row r="36">
      <c r="A36" s="3" t="inlineStr">
        <is>
          <t>BEST PRACTICES FOR DATA CLEANING</t>
        </is>
      </c>
    </row>
    <row r="37">
      <c r="A37" s="4" t="inlineStr">
        <is>
          <t>🔹 Always make a backup copy before cleaning. Cleaning can't be undone if you overwrite original data.</t>
        </is>
      </c>
    </row>
    <row r="38">
      <c r="A38" s="4" t="inlineStr">
        <is>
          <t>🔹 Create helper columns for cleaning formulas (=TRIM, =UPPER, etc), then copy→paste values to replace original.</t>
        </is>
      </c>
    </row>
    <row r="39">
      <c r="A39" s="4" t="inlineStr">
        <is>
          <t>🔹 Document what you cleaned and why. Future users need to understand data transformations.</t>
        </is>
      </c>
    </row>
    <row r="40">
      <c r="A40" s="4" t="inlineStr">
        <is>
          <t>🔹 Use Data &gt; Remove Duplicates for exact duplicates. For near-duplicates, manual review is often needed.</t>
        </is>
      </c>
    </row>
    <row r="41">
      <c r="A41" s="4" t="inlineStr">
        <is>
          <t>🔹 Check for leading/trailing spaces (invisible but cause lookup failures). TRIM is your friend.</t>
        </is>
      </c>
    </row>
    <row r="42">
      <c r="A42" s="4" t="inlineStr">
        <is>
          <t>🔹 Standardize date formats before calculations. Excel treats '1/1/2024' and '01/01/2024' same internally, but text dates fail.</t>
        </is>
      </c>
    </row>
    <row r="44">
      <c r="A44" s="8" t="inlineStr">
        <is>
          <t>COMMON DATA QUALITY ISSUES</t>
        </is>
      </c>
    </row>
    <row r="45">
      <c r="A45" s="4" t="inlineStr">
        <is>
          <t>❌ Extra spaces: ' John Smith ' won't match 'John Smith' in lookups. Use TRIM to fix.</t>
        </is>
      </c>
    </row>
    <row r="46">
      <c r="A46" s="4" t="inlineStr">
        <is>
          <t>❌ Mixed case: 'john smith', 'John Smith', 'JOHN SMITH' look different but should match. Use UPPER/LOWER for consistency.</t>
        </is>
      </c>
    </row>
    <row r="47">
      <c r="A47" s="4" t="inlineStr">
        <is>
          <t>❌ Duplicates: Exact row duplicates skew counts/sums. Remove with Data &gt; Remove Duplicates or COUNTIF formula.</t>
        </is>
      </c>
    </row>
    <row r="48">
      <c r="A48" s="4" t="inlineStr">
        <is>
          <t>❌ Blanks &amp; N/A: Missing data breaks calculations. Use IF(ISBLANK(...)) to replace with default value.</t>
        </is>
      </c>
    </row>
    <row r="49">
      <c r="A49" s="4" t="inlineStr">
        <is>
          <t>❌ Wrong data types: Text '123' vs number 123 cause errors. Use ISNUMBER, VALUE, TEXT for conversion.</t>
        </is>
      </c>
    </row>
  </sheetData>
  <mergeCells count="34">
    <mergeCell ref="A41:F41"/>
    <mergeCell ref="A46:F46"/>
    <mergeCell ref="A37:F37"/>
    <mergeCell ref="A27:F27"/>
    <mergeCell ref="A12:F12"/>
    <mergeCell ref="A26:F26"/>
    <mergeCell ref="A2:F2"/>
    <mergeCell ref="A33:F33"/>
    <mergeCell ref="A47:F47"/>
    <mergeCell ref="A42:F42"/>
    <mergeCell ref="A14:F14"/>
    <mergeCell ref="A5:F5"/>
    <mergeCell ref="A32:F32"/>
    <mergeCell ref="A8:F8"/>
    <mergeCell ref="A4:F4"/>
    <mergeCell ref="A29:F29"/>
    <mergeCell ref="A38:F38"/>
    <mergeCell ref="A10:F10"/>
    <mergeCell ref="A28:F28"/>
    <mergeCell ref="A44:F44"/>
    <mergeCell ref="A9:F9"/>
    <mergeCell ref="A31:F31"/>
    <mergeCell ref="A34:F34"/>
    <mergeCell ref="A40:F40"/>
    <mergeCell ref="A48:F48"/>
    <mergeCell ref="A30:F30"/>
    <mergeCell ref="A39:F39"/>
    <mergeCell ref="A11:F11"/>
    <mergeCell ref="A49:F49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10 REAL-WORLD DATA CLEANING &amp; QUALITY PRACTICE EXERCISES</t>
        </is>
      </c>
    </row>
    <row r="3">
      <c r="A3" s="9" t="inlineStr">
        <is>
          <t>EXERCISE 1: Remove Extra Spaces (TRIM Function)</t>
        </is>
      </c>
    </row>
    <row r="4">
      <c r="A4" s="10" t="inlineStr">
        <is>
          <t>Task: Customer names have extra spaces. Use TRIM to clean them. ' John Smith ', '  Sarah  ' → 'John Smith', 'Sarah'.</t>
        </is>
      </c>
    </row>
    <row r="6">
      <c r="A6" s="11" t="inlineStr">
        <is>
          <t>Messy Names (with spaces)</t>
        </is>
      </c>
      <c r="B6" s="11" t="inlineStr">
        <is>
          <t>Cleaned Names</t>
        </is>
      </c>
    </row>
    <row r="7">
      <c r="A7" s="12" t="inlineStr">
        <is>
          <t xml:space="preserve"> John Smith </t>
        </is>
      </c>
      <c r="B7" s="12">
        <f>TRIM(A7)</f>
        <v/>
      </c>
    </row>
    <row r="8">
      <c r="A8" s="12" t="inlineStr">
        <is>
          <t xml:space="preserve">  Sarah  Johnson  </t>
        </is>
      </c>
      <c r="B8" s="12">
        <f>TRIM(A8)</f>
        <v/>
      </c>
    </row>
    <row r="9">
      <c r="A9" s="12" t="inlineStr">
        <is>
          <t xml:space="preserve">Mike Chen </t>
        </is>
      </c>
      <c r="B9" s="12">
        <f>TRIM(A9)</f>
        <v/>
      </c>
    </row>
    <row r="10">
      <c r="A10" s="12" t="inlineStr">
        <is>
          <t xml:space="preserve">  Emily Davis</t>
        </is>
      </c>
      <c r="B10" s="12">
        <f>TRIM(A10)</f>
        <v/>
      </c>
    </row>
    <row r="12">
      <c r="A12" s="13" t="inlineStr">
        <is>
          <t>💡 HINT: =TRIM(A{row}) removes ALL leading and trailing spaces. Copy formula down, then copy results and paste as values to replace original.</t>
        </is>
      </c>
    </row>
    <row r="14">
      <c r="A14" s="9" t="inlineStr">
        <is>
          <t>EXERCISE 2: Standardize Text Case (UPPER, LOWER, PROPER)</t>
        </is>
      </c>
    </row>
    <row r="15">
      <c r="A15" s="10" t="inlineStr">
        <is>
          <t>Task: Product names in mixed case. Standardize to PROPER case (First Letter Capitalized). 'LAPTOP', 'mouse', 'mONITOR' → 'Laptop', 'Mouse', 'Monitor'.</t>
        </is>
      </c>
    </row>
    <row r="17">
      <c r="A17" s="11" t="inlineStr">
        <is>
          <t>Messy Products</t>
        </is>
      </c>
      <c r="B17" s="11" t="inlineStr">
        <is>
          <t>Cleaned (PROPER)</t>
        </is>
      </c>
    </row>
    <row r="18">
      <c r="A18" s="12" t="inlineStr">
        <is>
          <t>LAPTOP</t>
        </is>
      </c>
      <c r="B18" s="12">
        <f>PROPER(A18)</f>
        <v/>
      </c>
    </row>
    <row r="19">
      <c r="A19" s="12" t="inlineStr">
        <is>
          <t>mouse</t>
        </is>
      </c>
      <c r="B19" s="12">
        <f>PROPER(A19)</f>
        <v/>
      </c>
    </row>
    <row r="20">
      <c r="A20" s="12" t="inlineStr">
        <is>
          <t>mONITOR</t>
        </is>
      </c>
      <c r="B20" s="12">
        <f>PROPER(A20)</f>
        <v/>
      </c>
    </row>
    <row r="21">
      <c r="A21" s="12" t="inlineStr">
        <is>
          <t>KEYBOARD</t>
        </is>
      </c>
      <c r="B21" s="12">
        <f>PROPER(A21)</f>
        <v/>
      </c>
    </row>
    <row r="23">
      <c r="A23" s="13" t="inlineStr">
        <is>
          <t>💡 HINT: PROPER capitalizes first letter, rest lowercase. UPPER all caps, LOWER all lowercase. Use for consistent display/lookups.</t>
        </is>
      </c>
    </row>
    <row r="25">
      <c r="A25" s="9" t="inlineStr">
        <is>
          <t>EXERCISE 3: Remove Special Characters (SUBSTITUTE)</t>
        </is>
      </c>
    </row>
    <row r="26">
      <c r="A26" s="10" t="inlineStr">
        <is>
          <t>Task: Phone numbers have dashes/parentheses. Remove special characters. '(555) 123-4567' → '5551234567'.</t>
        </is>
      </c>
    </row>
    <row r="28">
      <c r="A28" s="11" t="inlineStr">
        <is>
          <t>Messy Phones</t>
        </is>
      </c>
      <c r="B28" s="11" t="inlineStr">
        <is>
          <t>Cleaned (Numbers Only)</t>
        </is>
      </c>
    </row>
    <row r="29">
      <c r="A29" s="12" t="inlineStr">
        <is>
          <t>(555) 123-4567</t>
        </is>
      </c>
      <c r="B29" s="12">
        <f>SUBSTITUTE(SUBSTITUTE(SUBSTITUTE(A29,"(",""),")",""),"-","")</f>
        <v/>
      </c>
    </row>
    <row r="30">
      <c r="A30" s="12" t="inlineStr">
        <is>
          <t>555-987-6543</t>
        </is>
      </c>
      <c r="B30" s="12">
        <f>SUBSTITUTE(SUBSTITUTE(SUBSTITUTE(A30,"(",""),")",""),"-","")</f>
        <v/>
      </c>
    </row>
    <row r="31">
      <c r="A31" s="12" t="inlineStr">
        <is>
          <t>(777)888.9999</t>
        </is>
      </c>
      <c r="B31" s="12">
        <f>SUBSTITUTE(SUBSTITUTE(SUBSTITUTE(A31,"(",""),")",""),"-","")</f>
        <v/>
      </c>
    </row>
    <row r="32">
      <c r="A32" s="12" t="inlineStr">
        <is>
          <t>666-555-4444</t>
        </is>
      </c>
      <c r="B32" s="12">
        <f>SUBSTITUTE(SUBSTITUTE(SUBSTITUTE(A32,"(",""),")",""),"-","")</f>
        <v/>
      </c>
    </row>
    <row r="34">
      <c r="A34" s="13" t="inlineStr">
        <is>
          <t>💡 HINT: Nested SUBSTITUTE removes each special char. (555) → 555, 555-123 → 555123. Repeat for each character.</t>
        </is>
      </c>
    </row>
    <row r="36">
      <c r="A36" s="9" t="inlineStr">
        <is>
          <t>EXERCISE 4: Handle Missing Data (ISBLANK, IFERROR)</t>
        </is>
      </c>
    </row>
    <row r="37">
      <c r="A37" s="10" t="inlineStr">
        <is>
          <t>Task: Customer names have blanks. Replace with 'Unknown'. Also handle #N/A errors gracefully.</t>
        </is>
      </c>
    </row>
    <row r="39">
      <c r="A39" s="11" t="inlineStr">
        <is>
          <t>Name Field</t>
        </is>
      </c>
      <c r="B39" s="11" t="inlineStr">
        <is>
          <t>Cleaned Name</t>
        </is>
      </c>
    </row>
    <row r="40">
      <c r="A40" s="12" t="inlineStr">
        <is>
          <t>John</t>
        </is>
      </c>
      <c r="B40" s="12">
        <f>IF(ISBLANK(A40),"Unknown",A40)</f>
        <v/>
      </c>
    </row>
    <row r="41">
      <c r="A41" s="12" t="inlineStr"/>
      <c r="B41" s="12">
        <f>IF(ISBLANK(A41),"Unknown",A41)</f>
        <v/>
      </c>
    </row>
    <row r="42">
      <c r="A42" s="12" t="inlineStr">
        <is>
          <t>Sarah</t>
        </is>
      </c>
      <c r="B42" s="12">
        <f>IF(ISBLANK(A42),"Unknown",A42)</f>
        <v/>
      </c>
    </row>
    <row r="43">
      <c r="A43" s="12" t="inlineStr"/>
      <c r="B43" s="12">
        <f>IF(ISBLANK(A43),"Unknown",A43)</f>
        <v/>
      </c>
    </row>
    <row r="45">
      <c r="A45" s="13" t="inlineStr">
        <is>
          <t>💡 HINT: ISBLANK(A{row}) checks if cell is empty. IF replaces with default value "Unknown". Prevents #N/A in lookups.</t>
        </is>
      </c>
    </row>
    <row r="47">
      <c r="A47" s="9" t="inlineStr">
        <is>
          <t>EXERCISE 5: Identify Duplicate Records (COUNTIF)</t>
        </is>
      </c>
    </row>
    <row r="48">
      <c r="A48" s="10" t="inlineStr">
        <is>
          <t>Task: Customer list has duplicates. Use COUNTIF to flag duplicate Customer IDs. Count &gt; 1 = duplicate.</t>
        </is>
      </c>
    </row>
    <row r="50">
      <c r="A50" s="11" t="inlineStr">
        <is>
          <t>Customer ID</t>
        </is>
      </c>
      <c r="B50" s="11" t="inlineStr">
        <is>
          <t>Name</t>
        </is>
      </c>
      <c r="C50" s="11" t="inlineStr">
        <is>
          <t>Duplicate Count</t>
        </is>
      </c>
      <c r="D50" s="11" t="inlineStr">
        <is>
          <t>Is Duplicate?</t>
        </is>
      </c>
    </row>
    <row r="51">
      <c r="A51" s="12" t="n">
        <v>1001</v>
      </c>
      <c r="B51" s="12" t="inlineStr">
        <is>
          <t>John</t>
        </is>
      </c>
      <c r="C51" s="12">
        <f>COUNTIF($A$51:$A55,A51)</f>
        <v/>
      </c>
      <c r="D51" s="12">
        <f>IF(C51&gt;1,"YES","NO")</f>
        <v/>
      </c>
    </row>
    <row r="52">
      <c r="A52" s="12" t="n">
        <v>1001</v>
      </c>
      <c r="B52" s="12" t="inlineStr">
        <is>
          <t>John</t>
        </is>
      </c>
      <c r="C52" s="12">
        <f>COUNTIF($A$51:$A56,A52)</f>
        <v/>
      </c>
      <c r="D52" s="12">
        <f>IF(C52&gt;1,"YES","NO")</f>
        <v/>
      </c>
    </row>
    <row r="53">
      <c r="A53" s="12" t="n">
        <v>1002</v>
      </c>
      <c r="B53" s="12" t="inlineStr">
        <is>
          <t>Sarah</t>
        </is>
      </c>
      <c r="C53" s="12">
        <f>COUNTIF($A$51:$A57,A53)</f>
        <v/>
      </c>
      <c r="D53" s="12">
        <f>IF(C53&gt;1,"YES","NO")</f>
        <v/>
      </c>
    </row>
    <row r="54">
      <c r="A54" s="12" t="n">
        <v>1003</v>
      </c>
      <c r="B54" s="12" t="inlineStr">
        <is>
          <t>Mike</t>
        </is>
      </c>
      <c r="C54" s="12">
        <f>COUNTIF($A$51:$A58,A54)</f>
        <v/>
      </c>
      <c r="D54" s="12">
        <f>IF(C54&gt;1,"YES","NO")</f>
        <v/>
      </c>
    </row>
    <row r="55">
      <c r="A55" s="12" t="n">
        <v>1002</v>
      </c>
      <c r="B55" s="12" t="inlineStr">
        <is>
          <t>Sarah</t>
        </is>
      </c>
      <c r="C55" s="12">
        <f>COUNTIF($A$51:$A59,A55)</f>
        <v/>
      </c>
      <c r="D55" s="12">
        <f>IF(C55&gt;1,"YES","NO")</f>
        <v/>
      </c>
    </row>
    <row r="57">
      <c r="A57" s="13" t="inlineStr">
        <is>
          <t>💡 HINT: COUNTIF counts how many times Customer ID appears in list. If count &gt; 1, it's a duplicate. Flag and review/remove.</t>
        </is>
      </c>
    </row>
    <row r="59">
      <c r="A59" s="9" t="inlineStr">
        <is>
          <t>EXERCISE 6: Validate Data Types (ISNUMBER, ISTEXT, ISDATE)</t>
        </is>
      </c>
    </row>
    <row r="60">
      <c r="A60" s="10" t="inlineStr">
        <is>
          <t>Task: Check if Age field contains numbers. Text '25' ≠ number 25. Validate data type before calculations.</t>
        </is>
      </c>
    </row>
    <row r="62">
      <c r="A62" s="11" t="inlineStr">
        <is>
          <t>Age Value</t>
        </is>
      </c>
      <c r="B62" s="11" t="inlineStr">
        <is>
          <t>Data Type Check</t>
        </is>
      </c>
      <c r="C62" s="11" t="inlineStr">
        <is>
          <t>Valid?</t>
        </is>
      </c>
    </row>
    <row r="63">
      <c r="A63" s="12" t="n">
        <v>25</v>
      </c>
      <c r="B63" s="12">
        <f>IF(ISNUMBER(A63),"Number",IF(ISTEXT(A63),"Text","Other"))</f>
        <v/>
      </c>
      <c r="C63" s="12">
        <f>IF(ISNUMBER(A63),"YES","NO")</f>
        <v/>
      </c>
    </row>
    <row r="64">
      <c r="A64" s="12" t="inlineStr">
        <is>
          <t>30</t>
        </is>
      </c>
      <c r="B64" s="12">
        <f>IF(ISNUMBER(A64),"Number",IF(ISTEXT(A64),"Text","Other"))</f>
        <v/>
      </c>
      <c r="C64" s="12">
        <f>IF(ISNUMBER(A64),"YES","NO")</f>
        <v/>
      </c>
    </row>
    <row r="65">
      <c r="A65" s="12" t="n">
        <v>45</v>
      </c>
      <c r="B65" s="12">
        <f>IF(ISNUMBER(A65),"Number",IF(ISTEXT(A65),"Text","Other"))</f>
        <v/>
      </c>
      <c r="C65" s="12">
        <f>IF(ISNUMBER(A65),"YES","NO")</f>
        <v/>
      </c>
    </row>
    <row r="66">
      <c r="A66" s="12" t="inlineStr">
        <is>
          <t>thirty</t>
        </is>
      </c>
      <c r="B66" s="12">
        <f>IF(ISNUMBER(A66),"Number",IF(ISTEXT(A66),"Text","Other"))</f>
        <v/>
      </c>
      <c r="C66" s="12">
        <f>IF(ISNUMBER(A66),"YES","NO")</f>
        <v/>
      </c>
    </row>
    <row r="67">
      <c r="A67" s="12" t="n">
        <v>50</v>
      </c>
      <c r="B67" s="12">
        <f>IF(ISNUMBER(A67),"Number",IF(ISTEXT(A67),"Text","Other"))</f>
        <v/>
      </c>
      <c r="C67" s="12">
        <f>IF(ISNUMBER(A67),"YES","NO")</f>
        <v/>
      </c>
    </row>
    <row r="69">
      <c r="A69" s="13" t="inlineStr">
        <is>
          <t>💡 HINT: ISNUMBER checks if number, ISTEXT checks if text. 25 is number, "30" is text. Excel formulas need correct types.</t>
        </is>
      </c>
    </row>
    <row r="71">
      <c r="A71" s="9" t="inlineStr">
        <is>
          <t>EXERCISE 7: Convert Text to Numbers (VALUE Function)</t>
        </is>
      </c>
    </row>
    <row r="72">
      <c r="A72" s="10" t="inlineStr">
        <is>
          <t>Task: Sales amounts imported as text '1,234.56'. Convert to numbers for calculations. =VALUE removes formatting.</t>
        </is>
      </c>
    </row>
    <row r="74">
      <c r="A74" s="11" t="inlineStr">
        <is>
          <t>Text Sales</t>
        </is>
      </c>
      <c r="B74" s="11" t="inlineStr">
        <is>
          <t>Numeric Sales</t>
        </is>
      </c>
      <c r="C74" s="11" t="inlineStr">
        <is>
          <t>Add 10% (multiply by 1.1)</t>
        </is>
      </c>
    </row>
    <row r="75">
      <c r="A75" s="12" t="inlineStr">
        <is>
          <t>1,234.56</t>
        </is>
      </c>
      <c r="B75" s="14">
        <f>VALUE(SUBSTITUTE(A75,",",""))</f>
        <v/>
      </c>
      <c r="C75" s="14">
        <f>B75*1.1</f>
        <v/>
      </c>
    </row>
    <row r="76">
      <c r="A76" s="12" t="inlineStr">
        <is>
          <t>2,500.00</t>
        </is>
      </c>
      <c r="B76" s="14">
        <f>VALUE(SUBSTITUTE(A76,",",""))</f>
        <v/>
      </c>
      <c r="C76" s="14">
        <f>B76*1.1</f>
        <v/>
      </c>
    </row>
    <row r="77">
      <c r="A77" s="12" t="inlineStr">
        <is>
          <t>850.75</t>
        </is>
      </c>
      <c r="B77" s="14">
        <f>VALUE(SUBSTITUTE(A77,",",""))</f>
        <v/>
      </c>
      <c r="C77" s="14">
        <f>B77*1.1</f>
        <v/>
      </c>
    </row>
    <row r="78">
      <c r="A78" s="12" t="inlineStr">
        <is>
          <t>5,000.00</t>
        </is>
      </c>
      <c r="B78" s="14">
        <f>VALUE(SUBSTITUTE(A78,",",""))</f>
        <v/>
      </c>
      <c r="C78" s="14">
        <f>B78*1.1</f>
        <v/>
      </c>
    </row>
    <row r="80">
      <c r="A80" s="13" t="inlineStr">
        <is>
          <t>💡 HINT: VALUE converts text to number. Remove commas first with SUBSTITUTE, then VALUE. Now can do math: multiply by 1.1 for 10% increase.</t>
        </is>
      </c>
    </row>
    <row r="82">
      <c r="A82" s="9" t="inlineStr">
        <is>
          <t>EXERCISE 8: Standardize Date Formats (TEXT Function)</t>
        </is>
      </c>
    </row>
    <row r="83">
      <c r="A83" s="10" t="inlineStr">
        <is>
          <t>Task: Dates in different formats ('1/1/2024', '01-01-2024'). Standardize to MM/DD/YYYY format for consistency.</t>
        </is>
      </c>
    </row>
    <row r="85">
      <c r="A85" s="11" t="inlineStr">
        <is>
          <t>Messy Dates</t>
        </is>
      </c>
      <c r="B85" s="11" t="inlineStr">
        <is>
          <t>Standardized (MM/DD/YYYY)</t>
        </is>
      </c>
    </row>
    <row r="86">
      <c r="A86" s="15" t="n">
        <v>45306</v>
      </c>
      <c r="B86" s="12">
        <f>TEXT(A86,"MM/DD/YYYY")</f>
        <v/>
      </c>
    </row>
    <row r="87">
      <c r="A87" s="15" t="n">
        <v>45373</v>
      </c>
      <c r="B87" s="12">
        <f>TEXT(A87,"MM/DD/YYYY")</f>
        <v/>
      </c>
    </row>
    <row r="88">
      <c r="A88" s="15" t="n">
        <v>45657</v>
      </c>
      <c r="B88" s="12">
        <f>TEXT(A88,"MM/DD/YYYY")</f>
        <v/>
      </c>
    </row>
    <row r="89">
      <c r="A89" s="15" t="n">
        <v>45453</v>
      </c>
      <c r="B89" s="12">
        <f>TEXT(A89,"MM/DD/YYYY")</f>
        <v/>
      </c>
    </row>
    <row r="91">
      <c r="A91" s="13" t="inlineStr">
        <is>
          <t>💡 HINT: TEXT function formats dates. "MM/DD/YYYY" gives 01/15/2024. Consistent format needed for sorting/comparisons.</t>
        </is>
      </c>
    </row>
    <row r="93">
      <c r="A93" s="9" t="inlineStr">
        <is>
          <t>EXERCISE 9: Detect Outliers (AVERAGE, STDEV)</t>
        </is>
      </c>
    </row>
    <row r="94">
      <c r="A94" s="10" t="inlineStr">
        <is>
          <t>Task: Identify unusual sales values. Flag if &gt; average + 2 standard deviations (outlier = possible data entry error).</t>
        </is>
      </c>
    </row>
    <row r="96">
      <c r="A96" s="11" t="inlineStr">
        <is>
          <t>Daily Sales</t>
        </is>
      </c>
      <c r="B96" s="11" t="inlineStr">
        <is>
          <t>Average</t>
        </is>
      </c>
      <c r="C96" s="11" t="inlineStr">
        <is>
          <t>Std Dev</t>
        </is>
      </c>
      <c r="D96" s="11" t="inlineStr">
        <is>
          <t>Is Outlier?</t>
        </is>
      </c>
    </row>
    <row r="97">
      <c r="A97" s="16" t="n">
        <v>1200</v>
      </c>
      <c r="B97" s="16">
        <f>AVERAGE($A$97:$A103)</f>
        <v/>
      </c>
      <c r="C97" s="16">
        <f>STDEV($A$97:$A103)</f>
        <v/>
      </c>
      <c r="D97" s="12">
        <f>IF(A97&gt;B97+2*C97,"YES","NO")</f>
        <v/>
      </c>
    </row>
    <row r="98">
      <c r="A98" s="16" t="n">
        <v>1150</v>
      </c>
      <c r="B98" s="16">
        <f>AVERAGE($A$97:$A103)</f>
        <v/>
      </c>
      <c r="C98" s="16">
        <f>STDEV($A$97:$A103)</f>
        <v/>
      </c>
      <c r="D98" s="12">
        <f>IF(A98&gt;B98+2*C98,"YES","NO")</f>
        <v/>
      </c>
    </row>
    <row r="99">
      <c r="A99" s="16" t="n">
        <v>1100</v>
      </c>
      <c r="B99" s="16">
        <f>AVERAGE($A$97:$A103)</f>
        <v/>
      </c>
      <c r="C99" s="16">
        <f>STDEV($A$97:$A103)</f>
        <v/>
      </c>
      <c r="D99" s="12">
        <f>IF(A99&gt;B99+2*C99,"YES","NO")</f>
        <v/>
      </c>
    </row>
    <row r="100">
      <c r="A100" s="16" t="n">
        <v>5000</v>
      </c>
      <c r="B100" s="16">
        <f>AVERAGE($A$97:$A103)</f>
        <v/>
      </c>
      <c r="C100" s="16">
        <f>STDEV($A$97:$A103)</f>
        <v/>
      </c>
      <c r="D100" s="12">
        <f>IF(A100&gt;B100+2*C100,"YES","NO")</f>
        <v/>
      </c>
    </row>
    <row r="101">
      <c r="A101" s="16" t="n">
        <v>1180</v>
      </c>
      <c r="B101" s="16">
        <f>AVERAGE($A$97:$A103)</f>
        <v/>
      </c>
      <c r="C101" s="16">
        <f>STDEV($A$97:$A103)</f>
        <v/>
      </c>
      <c r="D101" s="12">
        <f>IF(A101&gt;B101+2*C101,"YES","NO")</f>
        <v/>
      </c>
    </row>
    <row r="102">
      <c r="A102" s="16" t="n">
        <v>1220</v>
      </c>
      <c r="B102" s="16">
        <f>AVERAGE($A$97:$A103)</f>
        <v/>
      </c>
      <c r="C102" s="16">
        <f>STDEV($A$97:$A103)</f>
        <v/>
      </c>
      <c r="D102" s="12">
        <f>IF(A102&gt;B102+2*C102,"YES","NO")</f>
        <v/>
      </c>
    </row>
    <row r="103">
      <c r="A103" s="16" t="n">
        <v>1100</v>
      </c>
      <c r="B103" s="16">
        <f>AVERAGE($A$97:$A103)</f>
        <v/>
      </c>
      <c r="C103" s="16">
        <f>STDEV($A$97:$A103)</f>
        <v/>
      </c>
      <c r="D103" s="12">
        <f>IF(A103&gt;B103+2*C103,"YES","NO")</f>
        <v/>
      </c>
    </row>
    <row r="105">
      <c r="A105" s="13" t="inlineStr">
        <is>
          <t>💡 HINT: Outlier = value &gt; (average + 2×standard deviation). $5000 is far from ~$1150. Flag for review (typo? unusual transaction?).</t>
        </is>
      </c>
    </row>
    <row r="107">
      <c r="A107" s="9" t="inlineStr">
        <is>
          <t>EXERCISE 10: Complete Data Quality Checklist (Multi-Step Validation)</t>
        </is>
      </c>
    </row>
    <row r="108">
      <c r="A108" s="10" t="inlineStr">
        <is>
          <t>Task: Customer record audit. Check name (not blank), email (valid format), age (number 18-120). Flag any issues.</t>
        </is>
      </c>
    </row>
    <row r="110">
      <c r="A110" s="11" t="inlineStr">
        <is>
          <t>Customer</t>
        </is>
      </c>
      <c r="B110" s="11" t="inlineStr">
        <is>
          <t>Email</t>
        </is>
      </c>
      <c r="C110" s="11" t="inlineStr">
        <is>
          <t>Age</t>
        </is>
      </c>
      <c r="D110" s="11" t="inlineStr">
        <is>
          <t>Data Quality Issues</t>
        </is>
      </c>
    </row>
    <row r="111">
      <c r="A111" s="12" t="inlineStr">
        <is>
          <t>John</t>
        </is>
      </c>
      <c r="B111" s="12" t="inlineStr">
        <is>
          <t>john@email.com</t>
        </is>
      </c>
      <c r="C111" s="12" t="n">
        <v>35</v>
      </c>
      <c r="D111" s="12">
        <f>CONCATENATE(IF(ISBLANK(A111),"Blank Name; ",""),IF(ISERROR(FIND("@",B111)),"Invalid Email; ",""),IF(OR(NOT(ISNUMBER(C111)),C111&lt;18,C111&gt;120),"Invalid Age; ",""))</f>
        <v/>
      </c>
    </row>
    <row r="112">
      <c r="A112" s="12" t="inlineStr"/>
      <c r="B112" s="12" t="inlineStr">
        <is>
          <t>sarah@email.com</t>
        </is>
      </c>
      <c r="C112" s="12" t="n">
        <v>28</v>
      </c>
      <c r="D112" s="12">
        <f>CONCATENATE(IF(ISBLANK(A112),"Blank Name; ",""),IF(ISERROR(FIND("@",B112)),"Invalid Email; ",""),IF(OR(NOT(ISNUMBER(C112)),C112&lt;18,C112&gt;120),"Invalid Age; ",""))</f>
        <v/>
      </c>
    </row>
    <row r="113">
      <c r="A113" s="12" t="inlineStr">
        <is>
          <t>Mike</t>
        </is>
      </c>
      <c r="B113" s="12" t="inlineStr">
        <is>
          <t>mike_email</t>
        </is>
      </c>
      <c r="C113" s="12" t="n">
        <v>150</v>
      </c>
      <c r="D113" s="12">
        <f>CONCATENATE(IF(ISBLANK(A113),"Blank Name; ",""),IF(ISERROR(FIND("@",B113)),"Invalid Email; ",""),IF(OR(NOT(ISNUMBER(C113)),C113&lt;18,C113&gt;120),"Invalid Age; ",""))</f>
        <v/>
      </c>
    </row>
    <row r="114">
      <c r="A114" s="12" t="inlineStr">
        <is>
          <t>Emily</t>
        </is>
      </c>
      <c r="B114" s="12" t="inlineStr">
        <is>
          <t>emily@email.com</t>
        </is>
      </c>
      <c r="C114" s="12" t="inlineStr">
        <is>
          <t>thirty</t>
        </is>
      </c>
      <c r="D114" s="12">
        <f>CONCATENATE(IF(ISBLANK(A114),"Blank Name; ",""),IF(ISERROR(FIND("@",B114)),"Invalid Email; ",""),IF(OR(NOT(ISNUMBER(C114)),C114&lt;18,C114&gt;120),"Invalid Age; ",""))</f>
        <v/>
      </c>
    </row>
    <row r="116">
      <c r="A116" s="13" t="inlineStr">
        <is>
          <t>💡 HINT: CONCATENATE multiple checks: blank name? invalid email (no @)? age out of range? Build comprehensive quality score.</t>
        </is>
      </c>
    </row>
  </sheetData>
  <mergeCells count="31">
    <mergeCell ref="A48:H48"/>
    <mergeCell ref="A83:H83"/>
    <mergeCell ref="A15:H15"/>
    <mergeCell ref="A59:H59"/>
    <mergeCell ref="A107:H107"/>
    <mergeCell ref="A82:H82"/>
    <mergeCell ref="A60:H60"/>
    <mergeCell ref="A36:H36"/>
    <mergeCell ref="A45:H45"/>
    <mergeCell ref="A1:H1"/>
    <mergeCell ref="A94:H94"/>
    <mergeCell ref="A69:H69"/>
    <mergeCell ref="A25:H25"/>
    <mergeCell ref="A108:H108"/>
    <mergeCell ref="A80:H80"/>
    <mergeCell ref="A37:H37"/>
    <mergeCell ref="A12:H12"/>
    <mergeCell ref="A3:H3"/>
    <mergeCell ref="A26:H26"/>
    <mergeCell ref="A105:H105"/>
    <mergeCell ref="A57:H57"/>
    <mergeCell ref="A71:H71"/>
    <mergeCell ref="A14:H14"/>
    <mergeCell ref="A47:H47"/>
    <mergeCell ref="A116:H116"/>
    <mergeCell ref="A23:H23"/>
    <mergeCell ref="A4:H4"/>
    <mergeCell ref="A91:H91"/>
    <mergeCell ref="A72:H72"/>
    <mergeCell ref="A93:H9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7" t="inlineStr">
        <is>
          <t>SOLUTION 1: Remove Extra Spaces (TRIM)</t>
        </is>
      </c>
    </row>
    <row r="4">
      <c r="A4" s="18" t="inlineStr">
        <is>
          <t>Formula:</t>
        </is>
      </c>
      <c r="B4" s="19">
        <f>TRIM(A1)</f>
        <v/>
      </c>
    </row>
    <row r="5">
      <c r="A5" s="18" t="inlineStr">
        <is>
          <t>Result:</t>
        </is>
      </c>
      <c r="B5" s="20" t="inlineStr">
        <is>
          <t>' John Smith ' becomes 'John Smith'</t>
        </is>
      </c>
    </row>
    <row r="6">
      <c r="A6" s="21" t="inlineStr">
        <is>
          <t>Explanation:</t>
        </is>
      </c>
    </row>
    <row r="7" ht="25" customHeight="1">
      <c r="A7" s="22" t="inlineStr">
        <is>
          <t>TRIM removes ALL leading and trailing spaces. After cleaning, copy formula results and paste as values to replace original data.</t>
        </is>
      </c>
    </row>
    <row r="8">
      <c r="A8" s="21" t="inlineStr">
        <is>
          <t>Teacher's Comments:</t>
        </is>
      </c>
    </row>
    <row r="9" ht="50" customHeight="1">
      <c r="A9" s="22" t="inlineStr">
        <is>
          <t>• TRIM is critical for data cleanup. Extra spaces cause VLOOKUP failures and matching issues.
• Invisible problem: " John" looks like "John" but fails lookups.
• Common cause: Data imported from systems, copy-pasted from emails, manual entry inconsistencies.
• Always TRIM customer names, emails, addresses before lookups.
• Real scenario: Customer database imports, employee records, address lists.</t>
        </is>
      </c>
    </row>
    <row r="11">
      <c r="A11" s="17" t="inlineStr">
        <is>
          <t>SOLUTION 2: Standardize Text Case (PROPER)</t>
        </is>
      </c>
    </row>
    <row r="12">
      <c r="A12" s="18" t="inlineStr">
        <is>
          <t>Formula:</t>
        </is>
      </c>
      <c r="B12" s="19">
        <f>PROPER(A1)</f>
        <v/>
      </c>
    </row>
    <row r="13">
      <c r="A13" s="18" t="inlineStr">
        <is>
          <t>Result:</t>
        </is>
      </c>
      <c r="B13" s="20" t="inlineStr">
        <is>
          <t>LAPTOP becomes Laptop, mouse becomes Mouse</t>
        </is>
      </c>
    </row>
    <row r="14">
      <c r="A14" s="21" t="inlineStr">
        <is>
          <t>Explanation:</t>
        </is>
      </c>
    </row>
    <row r="15" ht="25" customHeight="1">
      <c r="A15" s="22" t="inlineStr">
        <is>
          <t>PROPER capitalizes first letter of each word, rest lowercase. Standardizes case for consistent display and lookups.</t>
        </is>
      </c>
    </row>
    <row r="16">
      <c r="A16" s="21" t="inlineStr">
        <is>
          <t>Teacher's Comments:</t>
        </is>
      </c>
    </row>
    <row r="17" ht="50" customHeight="1">
      <c r="A17" s="22" t="inlineStr">
        <is>
          <t>• Three case functions: PROPER (Title Case), UPPER (ALL CAPS), LOWER (all lowercase).
• Case matters for display/reporting but not for VLOOKUP (case-insensitive).
• Still standardize for consistency: products, categories, departments.
• Real scenario: Product catalogs (all products Proper Case), customer names, report headers.</t>
        </is>
      </c>
    </row>
    <row r="19">
      <c r="A19" s="17" t="inlineStr">
        <is>
          <t>SOLUTION 3: Remove Special Characters (SUBSTITUTE)</t>
        </is>
      </c>
    </row>
    <row r="20">
      <c r="A20" s="18" t="inlineStr">
        <is>
          <t>Formula:</t>
        </is>
      </c>
      <c r="B20" s="19">
        <f>SUBSTITUTE(SUBSTITUTE(SUBSTITUTE(A1,"(",""),")",""),"-","")</f>
        <v/>
      </c>
    </row>
    <row r="21">
      <c r="A21" s="18" t="inlineStr">
        <is>
          <t>Result:</t>
        </is>
      </c>
      <c r="B21" s="20" t="inlineStr">
        <is>
          <t>(555) 123-4567 becomes 5551234567</t>
        </is>
      </c>
    </row>
    <row r="22">
      <c r="A22" s="21" t="inlineStr">
        <is>
          <t>Explanation:</t>
        </is>
      </c>
    </row>
    <row r="23" ht="25" customHeight="1">
      <c r="A23" s="22" t="inlineStr">
        <is>
          <t>Nested SUBSTITUTE removes each special character one by one. Remove (, ), -, etc. for clean phone numbers.</t>
        </is>
      </c>
    </row>
    <row r="24">
      <c r="A24" s="21" t="inlineStr">
        <is>
          <t>Teacher's Comments:</t>
        </is>
      </c>
    </row>
    <row r="25" ht="50" customHeight="1">
      <c r="A25" s="22" t="inlineStr">
        <is>
          <t>• SUBSTITUTE(text, old_char, new_char). Replace with empty string to delete.
• Nested SUBSTITUTE: each one processes result of previous one.
• Alternative: Use Find Replace (Ctrl+H) for one-time cleanup, or REGEX in Excel 365.
• Real scenario: Phone numbers, social security numbers, product codes with formatting.
• Pro tip: Store cleaned format for lookups, keep formatted version for display.</t>
        </is>
      </c>
    </row>
    <row r="27">
      <c r="A27" s="17" t="inlineStr">
        <is>
          <t>SOLUTION 4: Handle Missing Data (ISBLANK)</t>
        </is>
      </c>
    </row>
    <row r="28">
      <c r="A28" s="18" t="inlineStr">
        <is>
          <t>Formula:</t>
        </is>
      </c>
      <c r="B28" s="19">
        <f>IF(ISBLANK(A1),"Unknown",A1)</f>
        <v/>
      </c>
    </row>
    <row r="29">
      <c r="A29" s="18" t="inlineStr">
        <is>
          <t>Result:</t>
        </is>
      </c>
      <c r="B29" s="20" t="inlineStr">
        <is>
          <t>Blank cell becomes Unknown</t>
        </is>
      </c>
    </row>
    <row r="30">
      <c r="A30" s="21" t="inlineStr">
        <is>
          <t>Explanation:</t>
        </is>
      </c>
    </row>
    <row r="31" ht="25" customHeight="1">
      <c r="A31" s="22" t="inlineStr">
        <is>
          <t>ISBLANK checks if cell is empty. Replace blanks with default value (Unknown, N/A, 0, etc) to prevent N/A errors in lookups.</t>
        </is>
      </c>
    </row>
    <row r="32">
      <c r="A32" s="21" t="inlineStr">
        <is>
          <t>Teacher's Comments:</t>
        </is>
      </c>
    </row>
    <row r="33" ht="50" customHeight="1">
      <c r="A33" s="22" t="inlineStr">
        <is>
          <t>• Missing data breaks formulas. IF/ISBLANK provides fallback value.
• Options: Unknown, N/A, 0, empty string, or formula that calculates default.
• Different from blank: ISBLANK does not catch text NA or spaces.
• Real scenario: Optional fields (middle name), incomplete records, legacy data with blanks.
• Pro tip: Document business rule for missing values (what should Unknown mean?).</t>
        </is>
      </c>
    </row>
    <row r="35">
      <c r="A35" s="17" t="inlineStr">
        <is>
          <t>SOLUTION 5: Identify Duplicates (COUNTIF)</t>
        </is>
      </c>
    </row>
    <row r="36">
      <c r="A36" s="18" t="inlineStr">
        <is>
          <t>Formula:</t>
        </is>
      </c>
      <c r="B36" s="19">
        <f>COUNTIF($A$start:$A$end,A1)</f>
        <v/>
      </c>
    </row>
    <row r="37">
      <c r="A37" s="18" t="inlineStr">
        <is>
          <t>Result:</t>
        </is>
      </c>
      <c r="B37" s="20" t="inlineStr">
        <is>
          <t>Count = 1 (unique), Count &gt; 1 (duplicate)</t>
        </is>
      </c>
    </row>
    <row r="38">
      <c r="A38" s="21" t="inlineStr">
        <is>
          <t>Explanation:</t>
        </is>
      </c>
    </row>
    <row r="39" ht="25" customHeight="1">
      <c r="A39" s="22" t="inlineStr">
        <is>
          <t>COUNTIF counts occurrences. If count &gt; 1, it is a duplicate. Then use Data &gt; Remove Duplicates or filter on flag.</t>
        </is>
      </c>
    </row>
    <row r="40">
      <c r="A40" s="21" t="inlineStr">
        <is>
          <t>Teacher's Comments:</t>
        </is>
      </c>
    </row>
    <row r="41" ht="50" customHeight="1">
      <c r="A41" s="22" t="inlineStr">
        <is>
          <t>• COUNTIF(range, criteria) counts matching values.
• COUNTIF($A$5:$A$20, A5) counts how many times A5 value appears in range.
• Absolute refs ($A$5:$A$20) do not shift when copied down.
• Data &gt; Remove Duplicates in ribbon is faster for exact duplicates.
• Real scenario: Customer lists (duplicate customers), order lists (duplicate orders), user databases.</t>
        </is>
      </c>
    </row>
    <row r="43">
      <c r="A43" s="17" t="inlineStr">
        <is>
          <t>SOLUTION 6: Validate Data Types (ISNUMBER)</t>
        </is>
      </c>
    </row>
    <row r="44">
      <c r="A44" s="18" t="inlineStr">
        <is>
          <t>Formula:</t>
        </is>
      </c>
      <c r="B44" s="19">
        <f>IF(ISNUMBER(A1),"YES","NO")</f>
        <v/>
      </c>
    </row>
    <row r="45">
      <c r="A45" s="18" t="inlineStr">
        <is>
          <t>Result:</t>
        </is>
      </c>
      <c r="B45" s="20" t="inlineStr">
        <is>
          <t>25 gives YES, 30 as text gives NO</t>
        </is>
      </c>
    </row>
    <row r="46">
      <c r="A46" s="21" t="inlineStr">
        <is>
          <t>Explanation:</t>
        </is>
      </c>
    </row>
    <row r="47" ht="25" customHeight="1">
      <c r="A47" s="22" t="inlineStr">
        <is>
          <t>ISNUMBER checks if cell contains number (not text 30). ISTEXT for text, ISBLANK for empty, ISDATE for dates.</t>
        </is>
      </c>
    </row>
    <row r="48">
      <c r="A48" s="21" t="inlineStr">
        <is>
          <t>Teacher's Comments:</t>
        </is>
      </c>
    </row>
    <row r="49" ht="50" customHeight="1">
      <c r="A49" s="22" t="inlineStr">
        <is>
          <t>• Data type mismatch causes errors: text 123 is not the same as number 123.
• ISNUMBER, ISTEXT, ISBLANK, ISERROR, ISLOGICAL (for TRUE/FALSE).
• Common issue: Numbers imported as text (copy from CSV, manual entry).
• To convert text to number: =VALUE(123) or =A1*1 (multiply by 1).
• Real scenario: Sales amounts, quantities, ages from imports or legacy systems.</t>
        </is>
      </c>
    </row>
    <row r="51">
      <c r="A51" s="17" t="inlineStr">
        <is>
          <t>SOLUTION 7: Convert Text to Numbers (VALUE)</t>
        </is>
      </c>
    </row>
    <row r="52">
      <c r="A52" s="18" t="inlineStr">
        <is>
          <t>Formula:</t>
        </is>
      </c>
      <c r="B52" s="19">
        <f>VALUE(SUBSTITUTE(A1,",",""))</f>
        <v/>
      </c>
    </row>
    <row r="53">
      <c r="A53" s="18" t="inlineStr">
        <is>
          <t>Result:</t>
        </is>
      </c>
      <c r="B53" s="20" t="inlineStr">
        <is>
          <t>Text 1,234.56 becomes number 1234.56</t>
        </is>
      </c>
    </row>
    <row r="54">
      <c r="A54" s="21" t="inlineStr">
        <is>
          <t>Explanation:</t>
        </is>
      </c>
    </row>
    <row r="55" ht="25" customHeight="1">
      <c r="A55" s="22" t="inlineStr">
        <is>
          <t>VALUE converts text to number. Remove commas first (SUBSTITUTE), then VALUE. Now can do calculations.</t>
        </is>
      </c>
    </row>
    <row r="56">
      <c r="A56" s="21" t="inlineStr">
        <is>
          <t>Teacher's Comments:</t>
        </is>
      </c>
    </row>
    <row r="57" ht="50" customHeight="1">
      <c r="A57" s="22" t="inlineStr">
        <is>
          <t>• Imported data often has formatted text: dollar amounts as text, not number.
• VALUE cannot handle special characters directly. Clean first with SUBSTITUTE.
• SUBSTITUTE(text, comma, empty) removes commas, then VALUE converts to number.
• Alternative: Use Find Replace to remove formatting, then column format change.
• Real scenario: Financial data imports, formatted currency amounts, number fields with symbols.</t>
        </is>
      </c>
    </row>
    <row r="59">
      <c r="A59" s="17" t="inlineStr">
        <is>
          <t>SOLUTION 8: Standardize Dates (TEXT)</t>
        </is>
      </c>
    </row>
    <row r="60">
      <c r="A60" s="18" t="inlineStr">
        <is>
          <t>Formula:</t>
        </is>
      </c>
      <c r="B60" s="19">
        <f>TEXT(A1,"MM/DD/YYYY")</f>
        <v/>
      </c>
    </row>
    <row r="61">
      <c r="A61" s="18" t="inlineStr">
        <is>
          <t>Result:</t>
        </is>
      </c>
      <c r="B61" s="20" t="inlineStr">
        <is>
          <t>Varied formats become 01/15/2024</t>
        </is>
      </c>
    </row>
    <row r="62">
      <c r="A62" s="21" t="inlineStr">
        <is>
          <t>Explanation:</t>
        </is>
      </c>
    </row>
    <row r="63" ht="25" customHeight="1">
      <c r="A63" s="22" t="inlineStr">
        <is>
          <t>TEXT formats date consistently. MM/DD/YYYY for US format, DD/MM/YYYY for European. Consistent format for sorting/comparisons.</t>
        </is>
      </c>
    </row>
    <row r="64">
      <c r="A64" s="21" t="inlineStr">
        <is>
          <t>Teacher's Comments:</t>
        </is>
      </c>
    </row>
    <row r="65" ht="50" customHeight="1">
      <c r="A65" s="22" t="inlineStr">
        <is>
          <t>• Excel treats dates as numbers (1 = Jan 1, 1900). Display format does not affect calculations.
• TEXT forces text output with specific format.
• Formats: MM/DD/YYYY, DD/MM/YYYY, YYYY-MM-DD, MMM DD YYYY.
• Problem: Text dates (1/1/2024 as text) do not calculate. Convert with DATEVALUE first.
• Real scenario: International dates (mixed formats), data from multiple sources, standardizing reports.</t>
        </is>
      </c>
    </row>
    <row r="67">
      <c r="A67" s="17" t="inlineStr">
        <is>
          <t>SOLUTION 9: Detect Outliers (STDEV)</t>
        </is>
      </c>
    </row>
    <row r="68">
      <c r="A68" s="18" t="inlineStr">
        <is>
          <t>Formula:</t>
        </is>
      </c>
      <c r="B68" s="19">
        <f>IF(A1 &gt; AVERAGE + 2*STDEV, "YES", "NO")</f>
        <v/>
      </c>
    </row>
    <row r="69">
      <c r="A69" s="18" t="inlineStr">
        <is>
          <t>Result:</t>
        </is>
      </c>
      <c r="B69" s="20" t="inlineStr">
        <is>
          <t>5000 in 1100 dataset becomes YES (outlier)</t>
        </is>
      </c>
    </row>
    <row r="70">
      <c r="A70" s="21" t="inlineStr">
        <is>
          <t>Explanation:</t>
        </is>
      </c>
    </row>
    <row r="71" ht="25" customHeight="1">
      <c r="A71" s="22" t="inlineStr">
        <is>
          <t>Outlier = value more than 2 standard deviations from average. Detects unusual values (data entry errors, anomalies, fraud).</t>
        </is>
      </c>
    </row>
    <row r="72">
      <c r="A72" s="21" t="inlineStr">
        <is>
          <t>Teacher's Comments:</t>
        </is>
      </c>
    </row>
    <row r="73" ht="50" customHeight="1">
      <c r="A73" s="22" t="inlineStr">
        <is>
          <t>• Statistical approach: 95% of data within 2 standard deviations of mean.
• Outliers can be: Typos (5000 instead of 500), fraud, legitimate unusual transactions.
• Always review outliers, do not auto-delete. May be legitimate.
• Alternative: IQR method (Q1/Q3 quartiles) for non-normal distributions.
• Real scenario: Anomaly detection, fraud flagging, data quality checks on new entries.</t>
        </is>
      </c>
    </row>
    <row r="75">
      <c r="A75" s="17" t="inlineStr">
        <is>
          <t>SOLUTION 10: Complete Quality Checklist (Multi-Condition)</t>
        </is>
      </c>
    </row>
    <row r="76">
      <c r="A76" s="18" t="inlineStr">
        <is>
          <t>Formula:</t>
        </is>
      </c>
      <c r="B76" s="19">
        <f>CONCATENATE(IF(ISBLANK(A1),"Blank Name;",""), IF(ISERROR(FIND("@",B1)),"Invalid Email;",""), ...)</f>
        <v/>
      </c>
    </row>
    <row r="77">
      <c r="A77" s="18" t="inlineStr">
        <is>
          <t>Result:</t>
        </is>
      </c>
      <c r="B77" s="20" t="inlineStr">
        <is>
          <t>Multiple checks = multiple flags displayed</t>
        </is>
      </c>
    </row>
    <row r="78">
      <c r="A78" s="21" t="inlineStr">
        <is>
          <t>Explanation:</t>
        </is>
      </c>
    </row>
    <row r="79" ht="25" customHeight="1">
      <c r="A79" s="22" t="inlineStr">
        <is>
          <t>Combine multiple validation rules: blank check, format check, range check. Build comprehensive quality report.</t>
        </is>
      </c>
    </row>
    <row r="80">
      <c r="A80" s="21" t="inlineStr">
        <is>
          <t>Teacher's Comments:</t>
        </is>
      </c>
    </row>
    <row r="81" ht="50" customHeight="1">
      <c r="A81" s="22" t="inlineStr">
        <is>
          <t>• Real-world cleaning needs multiple checks, not just one.
• Checklist approach: name check, email check, age check = PASS; name blank = FAIL.
• CONCATENATE builds messages: Blank Name; Invalid Email; tells exact issues.
• Alternative in Excel 365: Use FILTER to show only failing records.
• Pro tip: Score-based approach: each issue = -1 point, display score and issues together.
• Real scenario: Customer onboarding, data import validation, CRM data quality audits.</t>
        </is>
      </c>
    </row>
  </sheetData>
  <mergeCells count="31">
    <mergeCell ref="A9:H9"/>
    <mergeCell ref="A67:H67"/>
    <mergeCell ref="A39:H39"/>
    <mergeCell ref="A15:H15"/>
    <mergeCell ref="A59:H59"/>
    <mergeCell ref="A73:H73"/>
    <mergeCell ref="A51:H51"/>
    <mergeCell ref="A11:H11"/>
    <mergeCell ref="A49:H49"/>
    <mergeCell ref="A1:H1"/>
    <mergeCell ref="A79:H79"/>
    <mergeCell ref="A7:H7"/>
    <mergeCell ref="A25:H25"/>
    <mergeCell ref="A65:H65"/>
    <mergeCell ref="A41:H41"/>
    <mergeCell ref="A75:H75"/>
    <mergeCell ref="A27:H27"/>
    <mergeCell ref="A3:H3"/>
    <mergeCell ref="A55:H55"/>
    <mergeCell ref="A57:H57"/>
    <mergeCell ref="A71:H71"/>
    <mergeCell ref="A33:H33"/>
    <mergeCell ref="A47:H47"/>
    <mergeCell ref="A23:H23"/>
    <mergeCell ref="A17:H17"/>
    <mergeCell ref="A35:H35"/>
    <mergeCell ref="A43:H43"/>
    <mergeCell ref="A81:H81"/>
    <mergeCell ref="A63:H6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2025-12-07T08:27:27Z</dcterms:created>
  <dcterms:modified xmlns:dcterms="http://purl.org/dc/terms/" xmlns:xsi="http://www.w3.org/2001/XMLSchema-instance" xsi:type="dcterms:W3CDTF">2025-12-07T08:28:59Z</dcterms:modified>
</cp:coreProperties>
</file>