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2">
    <font>
      <name val="Calibri"/>
      <family val="2"/>
      <color theme="1"/>
      <sz val="11"/>
      <scheme val="minor"/>
    </font>
    <font>
      <name val="Calibri"/>
      <b val="1"/>
      <color rgb="0028A745"/>
      <sz val="14"/>
    </font>
    <font>
      <name val="Calibri"/>
      <i val="1"/>
      <color rgb="00666666"/>
      <sz val="11"/>
    </font>
    <font>
      <name val="Calibri"/>
      <b val="1"/>
      <color rgb="0028A745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  <font>
      <name val="Calibri"/>
      <b val="1"/>
      <color rgb="00FFFFFF"/>
      <sz val="12"/>
    </font>
    <font>
      <i val="1"/>
      <color rgb="000070C0"/>
      <sz val="9"/>
    </font>
    <font>
      <b val="1"/>
    </font>
    <font>
      <name val="Courier New"/>
      <color rgb="00C00000"/>
      <sz val="10"/>
    </font>
    <font>
      <b val="1"/>
      <color rgb="0028A745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28A745"/>
        <bgColor rgb="0028A745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8" fillId="0" borderId="0" pivotButton="0" quotePrefix="0" xfId="0"/>
    <xf numFmtId="0" fontId="7" fillId="3" borderId="1" applyAlignment="1" pivotButton="0" quotePrefix="0" xfId="0">
      <alignment wrapText="1"/>
    </xf>
    <xf numFmtId="165" fontId="0" fillId="0" borderId="1" pivotButton="0" quotePrefix="0" xfId="0"/>
    <xf numFmtId="9" fontId="0" fillId="0" borderId="1" pivotButton="0" quotePrefix="0" xfId="0"/>
    <xf numFmtId="2" fontId="0" fillId="0" borderId="1" pivotButton="0" quotePrefix="0" xfId="0"/>
    <xf numFmtId="0" fontId="3" fillId="6" borderId="0" pivotButton="0" quotePrefix="0" xfId="0"/>
    <xf numFmtId="0" fontId="9" fillId="0" borderId="0" pivotButton="0" quotePrefix="0" xfId="0"/>
    <xf numFmtId="0" fontId="10" fillId="7" borderId="0" pivotButton="0" quotePrefix="0" xfId="0"/>
    <xf numFmtId="0" fontId="0" fillId="8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LOGICAL FUNCTIONS FOR DECISION MAKING</t>
        </is>
      </c>
    </row>
    <row r="2">
      <c r="A2" s="2" t="inlineStr">
        <is>
          <t>Master IF, AND, OR, IFS: Build Smart Formulas with Conditional Logic</t>
        </is>
      </c>
    </row>
    <row r="4">
      <c r="A4" s="3" t="inlineStr">
        <is>
          <t>LEARNING OBJECTIVES</t>
        </is>
      </c>
    </row>
    <row r="5">
      <c r="A5" s="4" t="inlineStr">
        <is>
          <t>✓ Master IF function for basic conditional logic (if this, then that)</t>
        </is>
      </c>
    </row>
    <row r="6">
      <c r="A6" s="4" t="inlineStr">
        <is>
          <t>✓ Use AND to test multiple conditions (all must be TRUE)</t>
        </is>
      </c>
    </row>
    <row r="7">
      <c r="A7" s="4" t="inlineStr">
        <is>
          <t>✓ Use OR to test multiple conditions (any can be TRUE)</t>
        </is>
      </c>
    </row>
    <row r="8">
      <c r="A8" s="4" t="inlineStr">
        <is>
          <t>✓ Build nested IF statements for complex decision trees</t>
        </is>
      </c>
    </row>
    <row r="9">
      <c r="A9" s="4" t="inlineStr">
        <is>
          <t>✓ Use IFS function for cleaner multiple conditions (Excel 2019+)</t>
        </is>
      </c>
    </row>
    <row r="10">
      <c r="A10" s="4" t="inlineStr">
        <is>
          <t>✓ Understand TRUE/FALSE values and boolean logic</t>
        </is>
      </c>
    </row>
    <row r="11">
      <c r="A11" s="4" t="inlineStr">
        <is>
          <t>✓ Apply conditional logic to real business scenarios</t>
        </is>
      </c>
    </row>
    <row r="12">
      <c r="A12" s="4" t="inlineStr">
        <is>
          <t>✓ Handle errors with IFERROR and ISERROR</t>
        </is>
      </c>
    </row>
    <row r="14">
      <c r="A14" s="3" t="inlineStr">
        <is>
          <t>CORE LOGICAL FUNCTIONS OVERVIEW</t>
        </is>
      </c>
    </row>
    <row r="15">
      <c r="A15" s="5" t="inlineStr">
        <is>
          <t>Function</t>
        </is>
      </c>
      <c r="B15" s="5" t="inlineStr">
        <is>
          <t>Syntax</t>
        </is>
      </c>
      <c r="C15" s="5" t="inlineStr">
        <is>
          <t>Purpose</t>
        </is>
      </c>
      <c r="D15" s="5" t="inlineStr">
        <is>
          <t>Returns</t>
        </is>
      </c>
    </row>
    <row r="16">
      <c r="A16" s="5" t="inlineStr">
        <is>
          <t>IF</t>
        </is>
      </c>
      <c r="B16" s="5">
        <f>IF(condition, value_if_true, value_if_false)</f>
        <v/>
      </c>
      <c r="C16" s="5" t="inlineStr">
        <is>
          <t>Tests one condition, returns different values</t>
        </is>
      </c>
      <c r="D16" s="5" t="inlineStr">
        <is>
          <t>TRUE or FALSE</t>
        </is>
      </c>
    </row>
    <row r="17">
      <c r="A17" s="5" t="inlineStr">
        <is>
          <t>AND</t>
        </is>
      </c>
      <c r="B17" s="5">
        <f>AND(condition1, condition2, ...)</f>
        <v/>
      </c>
      <c r="C17" s="5" t="inlineStr">
        <is>
          <t>Returns TRUE only if ALL conditions are TRUE</t>
        </is>
      </c>
      <c r="D17" s="5" t="inlineStr">
        <is>
          <t>TRUE or FALSE</t>
        </is>
      </c>
    </row>
    <row r="18">
      <c r="A18" s="5" t="inlineStr">
        <is>
          <t>OR</t>
        </is>
      </c>
      <c r="B18" s="5">
        <f>OR(condition1, condition2, ...)</f>
        <v/>
      </c>
      <c r="C18" s="5" t="inlineStr">
        <is>
          <t>Returns TRUE if ANY condition is TRUE</t>
        </is>
      </c>
      <c r="D18" s="5" t="inlineStr">
        <is>
          <t>TRUE or FALSE</t>
        </is>
      </c>
    </row>
    <row r="19">
      <c r="A19" s="5" t="inlineStr">
        <is>
          <t>NOT</t>
        </is>
      </c>
      <c r="B19" s="5">
        <f>NOT(condition)</f>
        <v/>
      </c>
      <c r="C19" s="5" t="inlineStr">
        <is>
          <t>Reverses TRUE to FALSE, FALSE to TRUE</t>
        </is>
      </c>
      <c r="D19" s="5" t="inlineStr">
        <is>
          <t>TRUE or FALSE</t>
        </is>
      </c>
    </row>
    <row r="20">
      <c r="A20" s="5" t="inlineStr">
        <is>
          <t>IFS</t>
        </is>
      </c>
      <c r="B20" s="5">
        <f>IFS(test1, value1, test2, value2, ...)</f>
        <v/>
      </c>
      <c r="C20" s="5" t="inlineStr">
        <is>
          <t>Tests multiple conditions in order (cleaner than nested IF)</t>
        </is>
      </c>
      <c r="D20" s="5" t="inlineStr">
        <is>
          <t>First TRUE value</t>
        </is>
      </c>
    </row>
    <row r="21">
      <c r="A21" s="5" t="inlineStr">
        <is>
          <t>IFERROR</t>
        </is>
      </c>
      <c r="B21" s="5">
        <f>IFERROR(formula, value_if_error)</f>
        <v/>
      </c>
      <c r="C21" s="5" t="inlineStr">
        <is>
          <t>Catches errors, returns value instead</t>
        </is>
      </c>
      <c r="D21" s="5" t="inlineStr">
        <is>
          <t>Formula result or error value</t>
        </is>
      </c>
    </row>
    <row r="22">
      <c r="A22" s="5" t="inlineStr">
        <is>
          <t>ISERROR</t>
        </is>
      </c>
      <c r="B22" s="5">
        <f>ISERROR(formula)</f>
        <v/>
      </c>
      <c r="C22" s="5" t="inlineStr">
        <is>
          <t>Tests if formula contains an error</t>
        </is>
      </c>
      <c r="D22" s="5" t="inlineStr">
        <is>
          <t>TRUE or FALSE</t>
        </is>
      </c>
    </row>
    <row r="23">
      <c r="A23" s="5" t="inlineStr">
        <is>
          <t>ISBLANK</t>
        </is>
      </c>
      <c r="B23" s="5">
        <f>ISBLANK(A1)</f>
        <v/>
      </c>
      <c r="C23" s="5" t="inlineStr">
        <is>
          <t>Tests if cell is empty</t>
        </is>
      </c>
      <c r="D23" s="5" t="inlineStr">
        <is>
          <t>TRUE or FALSE</t>
        </is>
      </c>
    </row>
    <row r="24">
      <c r="A24" s="5" t="inlineStr">
        <is>
          <t>ISNUMBER</t>
        </is>
      </c>
      <c r="B24" s="5">
        <f>ISNUMBER(A1)</f>
        <v/>
      </c>
      <c r="C24" s="5" t="inlineStr">
        <is>
          <t>Tests if cell contains a number</t>
        </is>
      </c>
      <c r="D24" s="5" t="inlineStr">
        <is>
          <t>TRUE or FALSE</t>
        </is>
      </c>
    </row>
    <row r="26">
      <c r="A26" s="3" t="inlineStr">
        <is>
          <t>KEY CONCEPTS FOR LOGICAL FUNCTIONS</t>
        </is>
      </c>
    </row>
    <row r="27">
      <c r="A27" s="6" t="inlineStr">
        <is>
          <t>IF SYNTAX</t>
        </is>
      </c>
    </row>
    <row r="28" ht="30" customHeight="1">
      <c r="A28" s="7">
        <f>IF(test, value_if_true, value_if_false). Test evaluates to TRUE or FALSE. If TRUE, use first value; if FALSE, use second value.</f>
        <v/>
      </c>
    </row>
    <row r="29">
      <c r="A29" s="6" t="inlineStr">
        <is>
          <t>AND vs OR</t>
        </is>
      </c>
    </row>
    <row r="30" ht="30" customHeight="1">
      <c r="A30" s="7" t="inlineStr">
        <is>
          <t>AND: All conditions must be TRUE (strict). OR: At least one condition is TRUE (lenient). AND(A&gt;5, B&lt;10, C=15) requires ALL three.</t>
        </is>
      </c>
    </row>
    <row r="31">
      <c r="A31" s="6" t="inlineStr">
        <is>
          <t>COMPARISON OPERATORS</t>
        </is>
      </c>
    </row>
    <row r="32" ht="30" customHeight="1">
      <c r="A32" s="7">
        <f>Equal, &lt;&gt;Not Equal, &gt;Greater, &lt;Less, &gt;=Greater/Equal, &lt;=Less/Equal. Comparisons return TRUE or FALSE.</f>
        <v/>
      </c>
    </row>
    <row r="33">
      <c r="A33" s="6" t="inlineStr">
        <is>
          <t>NESTING</t>
        </is>
      </c>
    </row>
    <row r="34" ht="30" customHeight="1">
      <c r="A34" s="7" t="inlineStr">
        <is>
          <t>IF statements can be nested: =IF(A1&gt;100, "High", IF(A1&gt;50, "Medium", "Low")). Test condition 1, if false test condition 2, etc.</t>
        </is>
      </c>
    </row>
    <row r="36">
      <c r="A36" s="3" t="inlineStr">
        <is>
          <t>BEST PRACTICES FOR LOGICAL FUNCTIONS</t>
        </is>
      </c>
    </row>
    <row r="37">
      <c r="A37" s="4" t="inlineStr">
        <is>
          <t>🔹 Use IFS instead of nested IF when possible (more readable, less error-prone)</t>
        </is>
      </c>
    </row>
    <row r="38">
      <c r="A38" s="4" t="inlineStr">
        <is>
          <t>🔹 Test conditions carefully: 'Approved'&lt;&gt;'Rejected' must account for all possibilities (Pending, Cancelled)</t>
        </is>
      </c>
    </row>
    <row r="39">
      <c r="A39" s="4" t="inlineStr">
        <is>
          <t>🔹 Always use IFERROR when lookup functions might fail (VLOOKUP can return #N/A if not found)</t>
        </is>
      </c>
    </row>
    <row r="40">
      <c r="A40" s="4" t="inlineStr">
        <is>
          <t>🔹 Quote text values: IF(A1="Yes", 1, 0) - quotes matter for text comparison</t>
        </is>
      </c>
    </row>
    <row r="41">
      <c r="A41" s="4" t="inlineStr">
        <is>
          <t>🔹 Use wildcards in text comparisons: IF(A1="*error*", "Alert", "OK") for partial matches</t>
        </is>
      </c>
    </row>
    <row r="43">
      <c r="A43" s="8" t="inlineStr">
        <is>
          <t>COMMON MISTAKES TO AVOID</t>
        </is>
      </c>
    </row>
    <row r="44">
      <c r="A44" s="4" t="inlineStr">
        <is>
          <t>❌ Forgetting quotes around text: IF(A1=Yes) fails. Use IF(A1="Yes") with quotes</t>
        </is>
      </c>
    </row>
    <row r="45">
      <c r="A45" s="4" t="inlineStr">
        <is>
          <t>❌ Wrong operator order: IF(AND(A1&gt;5, B1&lt;10)) returns FALSE if either fails. Test both carefully.</t>
        </is>
      </c>
    </row>
    <row r="46">
      <c r="A46" s="4" t="inlineStr">
        <is>
          <t>❌ Using = instead of ==: Some functions require specific syntax. IF(A1="Yes", ...) uses = correctly</t>
        </is>
      </c>
    </row>
    <row r="47">
      <c r="A47" s="4" t="inlineStr">
        <is>
          <t>❌ Confusing AND with OR: AND needs all TRUE, OR needs any TRUE. AND(TRUE, FALSE) = FALSE, OR(TRUE, FALSE) = TRUE</t>
        </is>
      </c>
    </row>
    <row r="48">
      <c r="A48" s="4" t="inlineStr">
        <is>
          <t>❌ Forgetting parentheses in nested IF: Complex formulas need proper nesting. IF(A&gt;5, IF(B&lt;10, "OK", "Bad"), "Not OK")</t>
        </is>
      </c>
    </row>
  </sheetData>
  <mergeCells count="33">
    <mergeCell ref="A41:F41"/>
    <mergeCell ref="A46:F46"/>
    <mergeCell ref="A37:F37"/>
    <mergeCell ref="A27:F27"/>
    <mergeCell ref="A12:F12"/>
    <mergeCell ref="A26:F26"/>
    <mergeCell ref="A2:F2"/>
    <mergeCell ref="A33:F33"/>
    <mergeCell ref="A47:F47"/>
    <mergeCell ref="A14:F14"/>
    <mergeCell ref="A5:F5"/>
    <mergeCell ref="A32:F32"/>
    <mergeCell ref="A8:F8"/>
    <mergeCell ref="A4:F4"/>
    <mergeCell ref="A29:F29"/>
    <mergeCell ref="A43:F43"/>
    <mergeCell ref="A38:F38"/>
    <mergeCell ref="A10:F10"/>
    <mergeCell ref="A28:F28"/>
    <mergeCell ref="A44:F44"/>
    <mergeCell ref="A9:F9"/>
    <mergeCell ref="A31:F31"/>
    <mergeCell ref="A34:F34"/>
    <mergeCell ref="A40:F40"/>
    <mergeCell ref="A48:F48"/>
    <mergeCell ref="A30:F30"/>
    <mergeCell ref="A39:F39"/>
    <mergeCell ref="A11:F11"/>
    <mergeCell ref="A36:F36"/>
    <mergeCell ref="A1:F1"/>
    <mergeCell ref="A45:F45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10 REAL-WORLD LOGICAL FUNCTIONS PRACTICE EXERCISES</t>
        </is>
      </c>
    </row>
    <row r="3">
      <c r="A3" s="9" t="inlineStr">
        <is>
          <t>EXERCISE 1: Basic Conditional (IF Function)</t>
        </is>
      </c>
    </row>
    <row r="4">
      <c r="A4" s="10" t="inlineStr">
        <is>
          <t>Task: Approve/Reject orders based on order amount. Orders &gt; $100 are approved, otherwise rejected.</t>
        </is>
      </c>
    </row>
    <row r="6">
      <c r="A6" s="11" t="inlineStr">
        <is>
          <t>Order ID</t>
        </is>
      </c>
      <c r="B6" s="11" t="inlineStr">
        <is>
          <t>Amount</t>
        </is>
      </c>
      <c r="C6" s="11" t="inlineStr">
        <is>
          <t>Status</t>
        </is>
      </c>
    </row>
    <row r="7">
      <c r="A7" s="12" t="inlineStr">
        <is>
          <t>ORD001</t>
        </is>
      </c>
      <c r="B7" s="13" t="n">
        <v>150</v>
      </c>
      <c r="C7" s="12">
        <f>IF(B7&gt;100,"Approved","Rejected")</f>
        <v/>
      </c>
    </row>
    <row r="8">
      <c r="A8" s="12" t="inlineStr">
        <is>
          <t>ORD002</t>
        </is>
      </c>
      <c r="B8" s="13" t="n">
        <v>75</v>
      </c>
      <c r="C8" s="12">
        <f>IF(B8&gt;100,"Approved","Rejected")</f>
        <v/>
      </c>
    </row>
    <row r="9">
      <c r="A9" s="12" t="inlineStr">
        <is>
          <t>ORD003</t>
        </is>
      </c>
      <c r="B9" s="13" t="n">
        <v>250</v>
      </c>
      <c r="C9" s="12">
        <f>IF(B9&gt;100,"Approved","Rejected")</f>
        <v/>
      </c>
    </row>
    <row r="10">
      <c r="A10" s="12" t="inlineStr">
        <is>
          <t>ORD004</t>
        </is>
      </c>
      <c r="B10" s="13" t="n">
        <v>50</v>
      </c>
      <c r="C10" s="12">
        <f>IF(B10&gt;100,"Approved","Rejected")</f>
        <v/>
      </c>
    </row>
    <row r="11">
      <c r="A11" s="12" t="inlineStr">
        <is>
          <t>ORD005</t>
        </is>
      </c>
      <c r="B11" s="13" t="n">
        <v>120</v>
      </c>
      <c r="C11" s="12">
        <f>IF(B11&gt;100,"Approved","Rejected")</f>
        <v/>
      </c>
    </row>
    <row r="13">
      <c r="A13" s="14" t="inlineStr">
        <is>
          <t>💡 HINT: =IF(condition, value_if_true, value_if_false). If B{row}&gt;100 is TRUE, show "Approved", else "Rejected".</t>
        </is>
      </c>
    </row>
    <row r="15">
      <c r="A15" s="9" t="inlineStr">
        <is>
          <t>EXERCISE 2: Return Numbers or Text (IF with Different Data Types)</t>
        </is>
      </c>
    </row>
    <row r="16">
      <c r="A16" s="10" t="inlineStr">
        <is>
          <t>Task: Calculate commission based on sales performance. Salespeople with &gt;$10,000 get 5% commission, others get 2%.</t>
        </is>
      </c>
    </row>
    <row r="18">
      <c r="A18" s="15" t="inlineStr">
        <is>
          <t>Salesperson</t>
        </is>
      </c>
      <c r="B18" s="15" t="inlineStr">
        <is>
          <t>Sales</t>
        </is>
      </c>
      <c r="C18" s="15" t="inlineStr">
        <is>
          <t>Commission Rate</t>
        </is>
      </c>
      <c r="D18" s="15" t="inlineStr">
        <is>
          <t>Commission Amount</t>
        </is>
      </c>
    </row>
    <row r="19">
      <c r="A19" s="12" t="inlineStr">
        <is>
          <t>John</t>
        </is>
      </c>
      <c r="B19" s="16" t="n">
        <v>15000</v>
      </c>
      <c r="C19" s="17">
        <f>IF(B19&gt;10000,0.05,0.02)</f>
        <v/>
      </c>
      <c r="D19" s="13">
        <f>B19*C19</f>
        <v/>
      </c>
    </row>
    <row r="20">
      <c r="A20" s="12" t="inlineStr">
        <is>
          <t>Sarah</t>
        </is>
      </c>
      <c r="B20" s="16" t="n">
        <v>8000</v>
      </c>
      <c r="C20" s="17">
        <f>IF(B20&gt;10000,0.05,0.02)</f>
        <v/>
      </c>
      <c r="D20" s="13">
        <f>B20*C20</f>
        <v/>
      </c>
    </row>
    <row r="21">
      <c r="A21" s="12" t="inlineStr">
        <is>
          <t>Mike</t>
        </is>
      </c>
      <c r="B21" s="16" t="n">
        <v>12000</v>
      </c>
      <c r="C21" s="17">
        <f>IF(B21&gt;10000,0.05,0.02)</f>
        <v/>
      </c>
      <c r="D21" s="13">
        <f>B21*C21</f>
        <v/>
      </c>
    </row>
    <row r="22">
      <c r="A22" s="12" t="inlineStr">
        <is>
          <t>Emily</t>
        </is>
      </c>
      <c r="B22" s="16" t="n">
        <v>5000</v>
      </c>
      <c r="C22" s="17">
        <f>IF(B22&gt;10000,0.05,0.02)</f>
        <v/>
      </c>
      <c r="D22" s="13">
        <f>B22*C22</f>
        <v/>
      </c>
    </row>
    <row r="24">
      <c r="A24" s="14" t="inlineStr">
        <is>
          <t>💡 HINT: IF returns numbers (0.05, 0.02) then multiply by sales for commission. John: 15000*0.05=$750, Sarah: 8000*0.02=$160.</t>
        </is>
      </c>
    </row>
    <row r="26">
      <c r="A26" s="9" t="inlineStr">
        <is>
          <t>EXERCISE 3: Nested IF for Multiple Conditions (Grade Calculator)</t>
        </is>
      </c>
    </row>
    <row r="27">
      <c r="A27" s="10" t="inlineStr">
        <is>
          <t>Task: Assign letter grades based on score. A: &gt;=90, B: 80-89, C: 70-79, D: 60-69, F: &lt;60.</t>
        </is>
      </c>
    </row>
    <row r="29">
      <c r="A29" s="11" t="inlineStr">
        <is>
          <t>Student</t>
        </is>
      </c>
      <c r="B29" s="11" t="inlineStr">
        <is>
          <t>Score</t>
        </is>
      </c>
      <c r="C29" s="11" t="inlineStr">
        <is>
          <t>Grade</t>
        </is>
      </c>
    </row>
    <row r="30">
      <c r="A30" s="12" t="inlineStr">
        <is>
          <t>Alice</t>
        </is>
      </c>
      <c r="B30" s="12" t="n">
        <v>95</v>
      </c>
      <c r="C30" s="12">
        <f>IF(B30&gt;=90,"A",IF(B30&gt;=80,"B",IF(B30&gt;=70,"C",IF(B30&gt;=60,"D","F"))))</f>
        <v/>
      </c>
    </row>
    <row r="31">
      <c r="A31" s="12" t="inlineStr">
        <is>
          <t>Bob</t>
        </is>
      </c>
      <c r="B31" s="12" t="n">
        <v>85</v>
      </c>
      <c r="C31" s="12">
        <f>IF(B31&gt;=90,"A",IF(B31&gt;=80,"B",IF(B31&gt;=70,"C",IF(B31&gt;=60,"D","F"))))</f>
        <v/>
      </c>
    </row>
    <row r="32">
      <c r="A32" s="12" t="inlineStr">
        <is>
          <t>Charlie</t>
        </is>
      </c>
      <c r="B32" s="12" t="n">
        <v>75</v>
      </c>
      <c r="C32" s="12">
        <f>IF(B32&gt;=90,"A",IF(B32&gt;=80,"B",IF(B32&gt;=70,"C",IF(B32&gt;=60,"D","F"))))</f>
        <v/>
      </c>
    </row>
    <row r="33">
      <c r="A33" s="12" t="inlineStr">
        <is>
          <t>Diana</t>
        </is>
      </c>
      <c r="B33" s="12" t="n">
        <v>65</v>
      </c>
      <c r="C33" s="12">
        <f>IF(B33&gt;=90,"A",IF(B33&gt;=80,"B",IF(B33&gt;=70,"C",IF(B33&gt;=60,"D","F"))))</f>
        <v/>
      </c>
    </row>
    <row r="34">
      <c r="A34" s="12" t="inlineStr">
        <is>
          <t>Eve</t>
        </is>
      </c>
      <c r="B34" s="12" t="n">
        <v>55</v>
      </c>
      <c r="C34" s="12">
        <f>IF(B34&gt;=90,"A",IF(B34&gt;=80,"B",IF(B34&gt;=70,"C",IF(B34&gt;=60,"D","F"))))</f>
        <v/>
      </c>
    </row>
    <row r="36">
      <c r="A36" s="14" t="inlineStr">
        <is>
          <t>💡 HINT: Nested IF tests conditions in order. First condition fails? Check second, fail? Check third, etc. 95&gt;=90? YES→"A". 85&gt;=90? NO. 85&gt;=80? YES→"B".</t>
        </is>
      </c>
    </row>
    <row r="38">
      <c r="A38" s="9" t="inlineStr">
        <is>
          <t>EXERCISE 4: Multiple Conditions with AND</t>
        </is>
      </c>
    </row>
    <row r="39">
      <c r="A39" s="10" t="inlineStr">
        <is>
          <t>Task: Approve loans if BOTH credit score &gt;= 650 AND debt-to-income ratio &lt;= 0.40.</t>
        </is>
      </c>
    </row>
    <row r="41">
      <c r="A41" s="15" t="inlineStr">
        <is>
          <t>Applicant</t>
        </is>
      </c>
      <c r="B41" s="15" t="inlineStr">
        <is>
          <t>Credit Score</t>
        </is>
      </c>
      <c r="C41" s="15" t="inlineStr">
        <is>
          <t>Debt/Income Ratio</t>
        </is>
      </c>
      <c r="D41" s="15" t="inlineStr">
        <is>
          <t>Loan Approved</t>
        </is>
      </c>
    </row>
    <row r="42">
      <c r="A42" s="12" t="inlineStr">
        <is>
          <t>John</t>
        </is>
      </c>
      <c r="B42" s="12" t="n">
        <v>720</v>
      </c>
      <c r="C42" s="18" t="n">
        <v>0.35</v>
      </c>
      <c r="D42" s="12">
        <f>IF(AND(B42&gt;=650,C42&lt;=0.40),"Approved","Rejected")</f>
        <v/>
      </c>
    </row>
    <row r="43">
      <c r="A43" s="12" t="inlineStr">
        <is>
          <t>Sarah</t>
        </is>
      </c>
      <c r="B43" s="12" t="n">
        <v>620</v>
      </c>
      <c r="C43" s="18" t="n">
        <v>0.3</v>
      </c>
      <c r="D43" s="12">
        <f>IF(AND(B43&gt;=650,C43&lt;=0.40),"Approved","Rejected")</f>
        <v/>
      </c>
    </row>
    <row r="44">
      <c r="A44" s="12" t="inlineStr">
        <is>
          <t>Mike</t>
        </is>
      </c>
      <c r="B44" s="12" t="n">
        <v>650</v>
      </c>
      <c r="C44" s="18" t="n">
        <v>0.5</v>
      </c>
      <c r="D44" s="12">
        <f>IF(AND(B44&gt;=650,C44&lt;=0.40),"Approved","Rejected")</f>
        <v/>
      </c>
    </row>
    <row r="45">
      <c r="A45" s="12" t="inlineStr">
        <is>
          <t>Emily</t>
        </is>
      </c>
      <c r="B45" s="12" t="n">
        <v>700</v>
      </c>
      <c r="C45" s="18" t="n">
        <v>0.25</v>
      </c>
      <c r="D45" s="12">
        <f>IF(AND(B45&gt;=650,C45&lt;=0.40),"Approved","Rejected")</f>
        <v/>
      </c>
    </row>
    <row r="47">
      <c r="A47" s="14" t="inlineStr">
        <is>
          <t>💡 HINT: AND(B{row}&gt;=650, C{row}&lt;=0.40) needs BOTH conditions TRUE. John: 720&gt;=650? YES, 0.35&lt;=0.40? YES → "Approved". Mike: 650&gt;=650? YES, 0.50&lt;=0.40? NO → "Rejected".</t>
        </is>
      </c>
    </row>
    <row r="49">
      <c r="A49" s="9" t="inlineStr">
        <is>
          <t>EXERCISE 5: Multiple Conditions with OR</t>
        </is>
      </c>
    </row>
    <row r="50">
      <c r="A50" s="10" t="inlineStr">
        <is>
          <t>Task: Flag inventory items needing reorder if quantity &lt; 20 OR value &lt; $100.</t>
        </is>
      </c>
    </row>
    <row r="52">
      <c r="A52" s="11" t="inlineStr">
        <is>
          <t>Product</t>
        </is>
      </c>
      <c r="B52" s="11" t="inlineStr">
        <is>
          <t>Quantity</t>
        </is>
      </c>
      <c r="C52" s="11" t="inlineStr">
        <is>
          <t>Unit Price</t>
        </is>
      </c>
      <c r="D52" s="11" t="inlineStr">
        <is>
          <t>Value</t>
        </is>
      </c>
      <c r="E52" s="11" t="inlineStr">
        <is>
          <t>Reorder?</t>
        </is>
      </c>
    </row>
    <row r="53">
      <c r="A53" s="12" t="inlineStr">
        <is>
          <t>Pencil</t>
        </is>
      </c>
      <c r="B53" s="12" t="n">
        <v>50</v>
      </c>
      <c r="C53" s="13" t="n">
        <v>1</v>
      </c>
      <c r="D53" s="13">
        <f>B53*C53</f>
        <v/>
      </c>
      <c r="E53" s="12">
        <f>IF(OR(B53&lt;20,D53&lt;100),"YES","NO")</f>
        <v/>
      </c>
    </row>
    <row r="54">
      <c r="A54" s="12" t="inlineStr">
        <is>
          <t>Notebook</t>
        </is>
      </c>
      <c r="B54" s="12" t="n">
        <v>15</v>
      </c>
      <c r="C54" s="13" t="n">
        <v>8</v>
      </c>
      <c r="D54" s="13">
        <f>B54*C54</f>
        <v/>
      </c>
      <c r="E54" s="12">
        <f>IF(OR(B54&lt;20,D54&lt;100),"YES","NO")</f>
        <v/>
      </c>
    </row>
    <row r="55">
      <c r="A55" s="12" t="inlineStr">
        <is>
          <t>Pen</t>
        </is>
      </c>
      <c r="B55" s="12" t="n">
        <v>5</v>
      </c>
      <c r="C55" s="13" t="n">
        <v>3</v>
      </c>
      <c r="D55" s="13">
        <f>B55*C55</f>
        <v/>
      </c>
      <c r="E55" s="12">
        <f>IF(OR(B55&lt;20,D55&lt;100),"YES","NO")</f>
        <v/>
      </c>
    </row>
    <row r="56">
      <c r="A56" s="12" t="inlineStr">
        <is>
          <t>Eraser</t>
        </is>
      </c>
      <c r="B56" s="12" t="n">
        <v>100</v>
      </c>
      <c r="C56" s="13" t="n">
        <v>0.5</v>
      </c>
      <c r="D56" s="13">
        <f>B56*C56</f>
        <v/>
      </c>
      <c r="E56" s="12">
        <f>IF(OR(B56&lt;20,D56&lt;100),"YES","NO")</f>
        <v/>
      </c>
    </row>
    <row r="58">
      <c r="A58" s="14" t="inlineStr">
        <is>
          <t>💡 HINT: OR(B{row}&lt;20, D{row}&lt;100) returns TRUE if ANY condition is true. Notebook: 15&lt;20? YES → "YES". Eraser: 100&lt;20? NO, 50&lt;100? YES → "YES".</t>
        </is>
      </c>
    </row>
    <row r="60">
      <c r="A60" s="9" t="inlineStr">
        <is>
          <t>EXERCISE 6: Multiple Conditions with IFS (Cleaner than Nested IF)</t>
        </is>
      </c>
    </row>
    <row r="61">
      <c r="A61" s="10" t="inlineStr">
        <is>
          <t>Task: Assign service level based on customer spend. $5K+=Premium, $1K-$5K=Standard, &lt;$1K=Basic.</t>
        </is>
      </c>
    </row>
    <row r="63">
      <c r="A63" s="11" t="inlineStr">
        <is>
          <t>Customer</t>
        </is>
      </c>
      <c r="B63" s="11" t="inlineStr">
        <is>
          <t>Annual Spend</t>
        </is>
      </c>
      <c r="C63" s="11" t="inlineStr">
        <is>
          <t>Service Level</t>
        </is>
      </c>
    </row>
    <row r="64">
      <c r="A64" s="12" t="inlineStr">
        <is>
          <t>Company A</t>
        </is>
      </c>
      <c r="B64" s="16" t="n">
        <v>6000</v>
      </c>
      <c r="C64" s="12">
        <f>IFS(B64&gt;=5000,"Premium",B64&gt;=1000,"Standard",B64&lt;1000,"Basic")</f>
        <v/>
      </c>
    </row>
    <row r="65">
      <c r="A65" s="12" t="inlineStr">
        <is>
          <t>Company B</t>
        </is>
      </c>
      <c r="B65" s="16" t="n">
        <v>3000</v>
      </c>
      <c r="C65" s="12">
        <f>IFS(B65&gt;=5000,"Premium",B65&gt;=1000,"Standard",B65&lt;1000,"Basic")</f>
        <v/>
      </c>
    </row>
    <row r="66">
      <c r="A66" s="12" t="inlineStr">
        <is>
          <t>Company C</t>
        </is>
      </c>
      <c r="B66" s="16" t="n">
        <v>800</v>
      </c>
      <c r="C66" s="12">
        <f>IFS(B66&gt;=5000,"Premium",B66&gt;=1000,"Standard",B66&lt;1000,"Basic")</f>
        <v/>
      </c>
    </row>
    <row r="67">
      <c r="A67" s="12" t="inlineStr">
        <is>
          <t>Company D</t>
        </is>
      </c>
      <c r="B67" s="16" t="n">
        <v>5000</v>
      </c>
      <c r="C67" s="12">
        <f>IFS(B67&gt;=5000,"Premium",B67&gt;=1000,"Standard",B67&lt;1000,"Basic")</f>
        <v/>
      </c>
    </row>
    <row r="69">
      <c r="A69" s="14" t="inlineStr">
        <is>
          <t>💡 HINT: IFS tests conditions in order, returns value for first TRUE condition. Much cleaner than nested IF!</t>
        </is>
      </c>
    </row>
    <row r="71">
      <c r="A71" s="9" t="inlineStr">
        <is>
          <t>EXERCISE 7: Handle Errors with IFERROR</t>
        </is>
      </c>
    </row>
    <row r="72">
      <c r="A72" s="10" t="inlineStr">
        <is>
          <t>Task: Divide sales by units, but show 'N/A' if units are zero (avoid #DIV/0! error).</t>
        </is>
      </c>
    </row>
    <row r="74">
      <c r="A74" s="11" t="inlineStr">
        <is>
          <t>Product</t>
        </is>
      </c>
      <c r="B74" s="11" t="inlineStr">
        <is>
          <t>Sales</t>
        </is>
      </c>
      <c r="C74" s="11" t="inlineStr">
        <is>
          <t>Units</t>
        </is>
      </c>
      <c r="D74" s="11" t="inlineStr">
        <is>
          <t>Price per Unit</t>
        </is>
      </c>
    </row>
    <row r="75">
      <c r="A75" s="12" t="inlineStr">
        <is>
          <t>Item A</t>
        </is>
      </c>
      <c r="B75" s="12" t="n">
        <v>1500</v>
      </c>
      <c r="C75" s="12" t="n">
        <v>50</v>
      </c>
      <c r="D75" s="13">
        <f>IFERROR(B75/C75,"N/A")</f>
        <v/>
      </c>
    </row>
    <row r="76">
      <c r="A76" s="12" t="inlineStr">
        <is>
          <t>Item B</t>
        </is>
      </c>
      <c r="B76" s="12" t="n">
        <v>2000</v>
      </c>
      <c r="C76" s="12" t="n">
        <v>0</v>
      </c>
      <c r="D76" s="13">
        <f>IFERROR(B76/C76,"N/A")</f>
        <v/>
      </c>
    </row>
    <row r="77">
      <c r="A77" s="12" t="inlineStr">
        <is>
          <t>Item C</t>
        </is>
      </c>
      <c r="B77" s="12" t="n">
        <v>800</v>
      </c>
      <c r="C77" s="12" t="n">
        <v>40</v>
      </c>
      <c r="D77" s="13">
        <f>IFERROR(B77/C77,"N/A")</f>
        <v/>
      </c>
    </row>
    <row r="78">
      <c r="A78" s="12" t="inlineStr">
        <is>
          <t>Item D</t>
        </is>
      </c>
      <c r="B78" s="12" t="n">
        <v>0</v>
      </c>
      <c r="C78" s="12" t="n">
        <v>10</v>
      </c>
      <c r="D78" s="13">
        <f>IFERROR(B78/C78,"N/A")</f>
        <v/>
      </c>
    </row>
    <row r="80">
      <c r="A80" s="14" t="inlineStr">
        <is>
          <t>💡 HINT: IFERROR catches errors (like #DIV/0!) and displays "N/A" instead. Item B: 2000/0 would error, but IFERROR returns "N/A".</t>
        </is>
      </c>
    </row>
    <row r="82">
      <c r="A82" s="9" t="inlineStr">
        <is>
          <t>EXERCISE 8: Complex Logic - AND/OR Combined with IF</t>
        </is>
      </c>
    </row>
    <row r="83">
      <c r="A83" s="10" t="inlineStr">
        <is>
          <t>Task: Premium discount if (order &gt; $500 AND customer is VIP) OR (order &gt; $2000 regardless of VIP status).</t>
        </is>
      </c>
    </row>
    <row r="85">
      <c r="A85" s="11" t="inlineStr">
        <is>
          <t>Order ID</t>
        </is>
      </c>
      <c r="B85" s="11" t="inlineStr">
        <is>
          <t>Amount</t>
        </is>
      </c>
      <c r="C85" s="11" t="inlineStr">
        <is>
          <t>VIP</t>
        </is>
      </c>
      <c r="D85" s="11" t="inlineStr">
        <is>
          <t>Gets Discount</t>
        </is>
      </c>
    </row>
    <row r="86">
      <c r="A86" s="12" t="inlineStr">
        <is>
          <t>ORD1</t>
        </is>
      </c>
      <c r="B86" s="16" t="n">
        <v>600</v>
      </c>
      <c r="C86" s="12" t="inlineStr">
        <is>
          <t>Yes</t>
        </is>
      </c>
      <c r="D86" s="12">
        <f>IF(OR(AND(B86&gt;500,C86="Yes"),B86&gt;2000),"YES","NO")</f>
        <v/>
      </c>
    </row>
    <row r="87">
      <c r="A87" s="12" t="inlineStr">
        <is>
          <t>ORD2</t>
        </is>
      </c>
      <c r="B87" s="16" t="n">
        <v>400</v>
      </c>
      <c r="C87" s="12" t="inlineStr">
        <is>
          <t>Yes</t>
        </is>
      </c>
      <c r="D87" s="12">
        <f>IF(OR(AND(B87&gt;500,C87="Yes"),B87&gt;2000),"YES","NO")</f>
        <v/>
      </c>
    </row>
    <row r="88">
      <c r="A88" s="12" t="inlineStr">
        <is>
          <t>ORD3</t>
        </is>
      </c>
      <c r="B88" s="16" t="n">
        <v>2500</v>
      </c>
      <c r="C88" s="12" t="inlineStr">
        <is>
          <t>No</t>
        </is>
      </c>
      <c r="D88" s="12">
        <f>IF(OR(AND(B88&gt;500,C88="Yes"),B88&gt;2000),"YES","NO")</f>
        <v/>
      </c>
    </row>
    <row r="89">
      <c r="A89" s="12" t="inlineStr">
        <is>
          <t>ORD4</t>
        </is>
      </c>
      <c r="B89" s="16" t="n">
        <v>300</v>
      </c>
      <c r="C89" s="12" t="inlineStr">
        <is>
          <t>No</t>
        </is>
      </c>
      <c r="D89" s="12">
        <f>IF(OR(AND(B89&gt;500,C89="Yes"),B89&gt;2000),"YES","NO")</f>
        <v/>
      </c>
    </row>
    <row r="91">
      <c r="A91" s="14" t="inlineStr">
        <is>
          <t>💡 HINT: OR(AND(B{row}&gt;500, C{row}="Yes"), B{row}&gt;2000) means: (Amount&gt;500 AND VIP) OR (Amount&gt;2000). ORD2: 400&lt;500? NO, AND fails, then 400&lt;2000? NO → "NO".</t>
        </is>
      </c>
    </row>
    <row r="93">
      <c r="A93" s="9" t="inlineStr">
        <is>
          <t>EXERCISE 9: Check for Errors with ISERROR</t>
        </is>
      </c>
    </row>
    <row r="94">
      <c r="A94" s="10" t="inlineStr">
        <is>
          <t>Task: Validate data. If formula returns an error, display 'Data Error', otherwise display the result.</t>
        </is>
      </c>
    </row>
    <row r="96">
      <c r="A96" s="11" t="inlineStr">
        <is>
          <t>Numerator</t>
        </is>
      </c>
      <c r="B96" s="11" t="inlineStr">
        <is>
          <t>Denominator</t>
        </is>
      </c>
      <c r="C96" s="11" t="inlineStr">
        <is>
          <t>Result</t>
        </is>
      </c>
    </row>
    <row r="97">
      <c r="A97" s="12" t="n">
        <v>100</v>
      </c>
      <c r="B97" s="12" t="n">
        <v>5</v>
      </c>
      <c r="C97" s="18">
        <f>IF(ISERROR(A97/B97),"Data Error",A97/B97)</f>
        <v/>
      </c>
    </row>
    <row r="98">
      <c r="A98" s="12" t="n">
        <v>50</v>
      </c>
      <c r="B98" s="12" t="n">
        <v>0</v>
      </c>
      <c r="C98" s="18">
        <f>IF(ISERROR(A98/B98),"Data Error",A98/B98)</f>
        <v/>
      </c>
    </row>
    <row r="99">
      <c r="A99" s="12" t="n">
        <v>200</v>
      </c>
      <c r="B99" s="12" t="n">
        <v>10</v>
      </c>
      <c r="C99" s="18">
        <f>IF(ISERROR(A99/B99),"Data Error",A99/B99)</f>
        <v/>
      </c>
    </row>
    <row r="100">
      <c r="A100" s="12" t="n">
        <v>75</v>
      </c>
      <c r="B100" s="12" t="n">
        <v>0</v>
      </c>
      <c r="C100" s="18">
        <f>IF(ISERROR(A100/B100),"Data Error",A100/B100)</f>
        <v/>
      </c>
    </row>
    <row r="102">
      <c r="A102" s="14" t="inlineStr">
        <is>
          <t>💡 HINT: ISERROR(formula) returns TRUE if error, FALSE if no error. Use with IF to conditionally display result or error message.</t>
        </is>
      </c>
    </row>
    <row r="104">
      <c r="A104" s="9" t="inlineStr">
        <is>
          <t>EXERCISE 10: Employee Bonus Eligibility (Complex Multi-Condition Logic)</t>
        </is>
      </c>
    </row>
    <row r="105">
      <c r="A105" s="10" t="inlineStr">
        <is>
          <t>Task: Calculate bonus. Full bonus if (years&gt;2 AND rating='Excellent') OR (sales&gt;$500K). Half bonus if years&gt;1. No bonus otherwise.</t>
        </is>
      </c>
    </row>
    <row r="107">
      <c r="A107" s="11" t="inlineStr">
        <is>
          <t>Employee</t>
        </is>
      </c>
      <c r="B107" s="11" t="inlineStr">
        <is>
          <t>Years</t>
        </is>
      </c>
      <c r="C107" s="11" t="inlineStr">
        <is>
          <t>Rating</t>
        </is>
      </c>
      <c r="D107" s="11" t="inlineStr">
        <is>
          <t>Sales</t>
        </is>
      </c>
      <c r="E107" s="11" t="inlineStr">
        <is>
          <t>Bonus</t>
        </is>
      </c>
    </row>
    <row r="108">
      <c r="A108" s="12" t="inlineStr">
        <is>
          <t>John</t>
        </is>
      </c>
      <c r="B108" s="12" t="n">
        <v>3</v>
      </c>
      <c r="C108" s="12" t="inlineStr">
        <is>
          <t>Excellent</t>
        </is>
      </c>
      <c r="D108" s="16" t="n">
        <v>450000</v>
      </c>
      <c r="E108" s="12">
        <f>IFS(OR(AND(B108&gt;2,C108="Excellent"),D108&gt;500000),"Full",B108&gt;1,"Half","None")</f>
        <v/>
      </c>
    </row>
    <row r="109">
      <c r="A109" s="12" t="inlineStr">
        <is>
          <t>Sarah</t>
        </is>
      </c>
      <c r="B109" s="12" t="n">
        <v>2</v>
      </c>
      <c r="C109" s="12" t="inlineStr">
        <is>
          <t>Good</t>
        </is>
      </c>
      <c r="D109" s="16" t="n">
        <v>550000</v>
      </c>
      <c r="E109" s="12">
        <f>IFS(OR(AND(B109&gt;2,C109="Excellent"),D109&gt;500000),"Full",B109&gt;1,"Half","None")</f>
        <v/>
      </c>
    </row>
    <row r="110">
      <c r="A110" s="12" t="inlineStr">
        <is>
          <t>Mike</t>
        </is>
      </c>
      <c r="B110" s="12" t="n">
        <v>1</v>
      </c>
      <c r="C110" s="12" t="inlineStr">
        <is>
          <t>Excellent</t>
        </is>
      </c>
      <c r="D110" s="16" t="n">
        <v>300000</v>
      </c>
      <c r="E110" s="12">
        <f>IFS(OR(AND(B110&gt;2,C110="Excellent"),D110&gt;500000),"Full",B110&gt;1,"Half","None")</f>
        <v/>
      </c>
    </row>
    <row r="111">
      <c r="A111" s="12" t="inlineStr">
        <is>
          <t>Emily</t>
        </is>
      </c>
      <c r="B111" s="12" t="n">
        <v>4</v>
      </c>
      <c r="C111" s="12" t="inlineStr">
        <is>
          <t>Excellent</t>
        </is>
      </c>
      <c r="D111" s="16" t="n">
        <v>600000</v>
      </c>
      <c r="E111" s="12">
        <f>IFS(OR(AND(B111&gt;2,C111="Excellent"),D111&gt;500000),"Full",B111&gt;1,"Half","None")</f>
        <v/>
      </c>
    </row>
    <row r="113">
      <c r="A113" s="14" t="inlineStr">
        <is>
          <t>💡 HINT: Complex logic broken down: Full = (Years&gt;2 AND Rating="Excellent") OR (Sales&gt;$500K). Half = Years&gt;1. None = default. Use IFS to check in order!</t>
        </is>
      </c>
    </row>
  </sheetData>
  <mergeCells count="31">
    <mergeCell ref="A39:H39"/>
    <mergeCell ref="A83:H83"/>
    <mergeCell ref="A15:H15"/>
    <mergeCell ref="A24:H24"/>
    <mergeCell ref="A82:H82"/>
    <mergeCell ref="A60:H60"/>
    <mergeCell ref="A36:H36"/>
    <mergeCell ref="A49:H49"/>
    <mergeCell ref="A1:H1"/>
    <mergeCell ref="A94:H94"/>
    <mergeCell ref="A61:H61"/>
    <mergeCell ref="A69:H69"/>
    <mergeCell ref="A16:H16"/>
    <mergeCell ref="A80:H80"/>
    <mergeCell ref="A27:H27"/>
    <mergeCell ref="A50:H50"/>
    <mergeCell ref="A3:H3"/>
    <mergeCell ref="A26:H26"/>
    <mergeCell ref="A105:H105"/>
    <mergeCell ref="A113:H113"/>
    <mergeCell ref="A71:H71"/>
    <mergeCell ref="A104:H104"/>
    <mergeCell ref="A47:H47"/>
    <mergeCell ref="A4:H4"/>
    <mergeCell ref="A91:H91"/>
    <mergeCell ref="A38:H38"/>
    <mergeCell ref="A72:H72"/>
    <mergeCell ref="A13:H13"/>
    <mergeCell ref="A102:H102"/>
    <mergeCell ref="A93:H93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SOLUTIONS &amp; EXPLANATIONS</t>
        </is>
      </c>
    </row>
    <row r="3">
      <c r="A3" s="19" t="inlineStr">
        <is>
          <t>SOLUTION 1: Basic Conditional (IF Function)</t>
        </is>
      </c>
    </row>
    <row r="4">
      <c r="A4" s="20" t="inlineStr">
        <is>
          <t>Formula:</t>
        </is>
      </c>
      <c r="B4" s="21">
        <f>IF(B1&gt;100,"Approved","Rejected")</f>
        <v/>
      </c>
    </row>
    <row r="5">
      <c r="A5" s="20" t="inlineStr">
        <is>
          <t>Result:</t>
        </is>
      </c>
      <c r="B5" s="22" t="inlineStr">
        <is>
          <t>Approved (150 &gt; 100)</t>
        </is>
      </c>
    </row>
    <row r="6">
      <c r="A6" s="23" t="inlineStr">
        <is>
          <t>Explanation:</t>
        </is>
      </c>
    </row>
    <row r="7" ht="30" customHeight="1">
      <c r="A7" s="24" t="inlineStr">
        <is>
          <t>IF(test, value_if_true, value_if_false). Test B1&gt;100 is TRUE (150 exceeds 100), so result is "Approved". Simple decision based on one condition.</t>
        </is>
      </c>
    </row>
    <row r="8">
      <c r="A8" s="23" t="inlineStr">
        <is>
          <t>Teacher's Comments:</t>
        </is>
      </c>
    </row>
    <row r="9" ht="50" customHeight="1">
      <c r="A9" s="24" t="inlineStr">
        <is>
          <t>• IF is the most common logical function in Excel. Every analyst uses it constantly.
• Always put text in quotes: "Approved" not Approved.
• Can return numbers, text, formulas. =IF(A1&gt;5, A1*2, 10) multiplies if true, returns 10 if false.
• Nested IF for multiple conditions (see Exercise 3).
• Real scenario: Pass/Fail grades, Approved/Rejected orders, Eligible/Not Eligible for discounts.</t>
        </is>
      </c>
    </row>
    <row r="11">
      <c r="A11" s="19" t="inlineStr">
        <is>
          <t>SOLUTION 2: Return Numbers or Text (Different Data Types)</t>
        </is>
      </c>
    </row>
    <row r="12">
      <c r="A12" s="20" t="inlineStr">
        <is>
          <t>Formula:</t>
        </is>
      </c>
      <c r="B12" s="21">
        <f>IF(B1&gt;10000, 0.05, 0.02)</f>
        <v/>
      </c>
    </row>
    <row r="13">
      <c r="A13" s="20" t="inlineStr">
        <is>
          <t>Result:</t>
        </is>
      </c>
      <c r="B13" s="22" t="inlineStr">
        <is>
          <t>0.05 (15000 &gt; 10000)</t>
        </is>
      </c>
    </row>
    <row r="14">
      <c r="A14" s="23" t="inlineStr">
        <is>
          <t>Explanation:</t>
        </is>
      </c>
    </row>
    <row r="15" ht="30" customHeight="1">
      <c r="A15" s="24" t="inlineStr">
        <is>
          <t>IF returns either 0.05 (5%) or 0.02 (2%) based on sales amount. Then multiply by sales for commission. John (15000): 0.05 → 15000*0.05 = $750 commission.</t>
        </is>
      </c>
    </row>
    <row r="16">
      <c r="A16" s="23" t="inlineStr">
        <is>
          <t>Teacher's Comments:</t>
        </is>
      </c>
    </row>
    <row r="17" ht="50" customHeight="1">
      <c r="A17" s="24" t="inlineStr">
        <is>
          <t>• IF doesn't have to return text. Returns numbers too: 0.05, 2, 3.14, etc.
• When IF returns numbers, you can do math with it: IF(...)*100 multiplies result by 100.
• Commission/bonus structure: Higher threshold = higher percentage. Good incentive structure.
• Alternative: Use SUMIF to calculate total commissions by salesperson.
• Real scenario: Tiered pricing, progressive tax rates, performance bonuses, service level charges.</t>
        </is>
      </c>
    </row>
    <row r="19">
      <c r="A19" s="19" t="inlineStr">
        <is>
          <t>SOLUTION 3: Nested IF (Grade Calculator)</t>
        </is>
      </c>
    </row>
    <row r="20">
      <c r="A20" s="20" t="inlineStr">
        <is>
          <t>Formula:</t>
        </is>
      </c>
      <c r="B20" s="21">
        <f>IF(B1&gt;=90,"A",IF(B1&gt;=80,"B",IF(B1&gt;=70,"C",IF(B1&gt;=60,"D","F"))))</f>
        <v/>
      </c>
    </row>
    <row r="21">
      <c r="A21" s="20" t="inlineStr">
        <is>
          <t>Result:</t>
        </is>
      </c>
      <c r="B21" s="22" t="inlineStr">
        <is>
          <t>A (95 &gt;= 90)</t>
        </is>
      </c>
    </row>
    <row r="22">
      <c r="A22" s="23" t="inlineStr">
        <is>
          <t>Explanation:</t>
        </is>
      </c>
    </row>
    <row r="23" ht="30" customHeight="1">
      <c r="A23" s="24" t="inlineStr">
        <is>
          <t>Nested IF tests conditions in order. 95&gt;=90? YES → "A" (done). If it were 85: 85&gt;=90? NO → check next: 85&gt;=80? YES → "B". Tests each tier until one matches.</t>
        </is>
      </c>
    </row>
    <row r="24">
      <c r="A24" s="23" t="inlineStr">
        <is>
          <t>Teacher's Comments:</t>
        </is>
      </c>
    </row>
    <row r="25" ht="50" customHeight="1">
      <c r="A25" s="24" t="inlineStr">
        <is>
          <t>• Nested IF follows cascading logic: first TRUE condition wins.
• Order matters: Put highest threshold first. IF score&gt;=90, THEN A. Otherwise if &gt;=80, THEN B, etc.
• Readability: Deeply nested IF (more than 3-4 levels) becomes hard to read. Use IFS for cleaner syntax (see Exercise 6).
• Pro tip: Use VLOOKUP or IFS for 5+ conditions (much cleaner than nested IF).
• Real scenario: Letter grades, salary brackets (income tax), service tiers (based on spend).</t>
        </is>
      </c>
    </row>
    <row r="27">
      <c r="A27" s="19" t="inlineStr">
        <is>
          <t>SOLUTION 4: Multiple Conditions with AND</t>
        </is>
      </c>
    </row>
    <row r="28">
      <c r="A28" s="20" t="inlineStr">
        <is>
          <t>Formula:</t>
        </is>
      </c>
      <c r="B28" s="21">
        <f>IF(AND(B1&gt;=650, C1&lt;=0.40), "Approved", "Rejected")</f>
        <v/>
      </c>
    </row>
    <row r="29">
      <c r="A29" s="20" t="inlineStr">
        <is>
          <t>Result:</t>
        </is>
      </c>
      <c r="B29" s="22" t="inlineStr">
        <is>
          <t>Approved (720&gt;=650 AND 0.35&lt;=0.40)</t>
        </is>
      </c>
    </row>
    <row r="30">
      <c r="A30" s="23" t="inlineStr">
        <is>
          <t>Explanation:</t>
        </is>
      </c>
    </row>
    <row r="31" ht="30" customHeight="1">
      <c r="A31" s="24" t="inlineStr">
        <is>
          <t>AND requires ALL conditions TRUE. John: 720&gt;=650? YES, 0.35&lt;=0.40? YES → both TRUE → "Approved". Mike: 650&gt;=650? YES, 0.50&lt;=0.40? NO (fails) → "Rejected".</t>
        </is>
      </c>
    </row>
    <row r="32">
      <c r="A32" s="23" t="inlineStr">
        <is>
          <t>Teacher's Comments:</t>
        </is>
      </c>
    </row>
    <row r="33" ht="50" customHeight="1">
      <c r="A33" s="24" t="inlineStr">
        <is>
          <t>• AND is strict: needs every condition to be TRUE.
• If ANY condition fails, result is FALSE.
• AND(TRUE, TRUE, FALSE) = FALSE (one failure = all fail).
• Common use: Loan approval (need BOTH good credit AND low debt), insurance qualification (age AND health), employee promotion (performance AND tenure).
• Pro tip: Use AND to ensure data quality checks: AND(A1&lt;&gt;"", B1&gt;0, C1&lt;=100) validates all fields.
• Real scenario: Qualification rules with multiple criteria (medical underwriting, background checks).</t>
        </is>
      </c>
    </row>
    <row r="35">
      <c r="A35" s="19" t="inlineStr">
        <is>
          <t>SOLUTION 5: Multiple Conditions with OR</t>
        </is>
      </c>
    </row>
    <row r="36">
      <c r="A36" s="20" t="inlineStr">
        <is>
          <t>Formula:</t>
        </is>
      </c>
      <c r="B36" s="21">
        <f>IF(OR(B1&lt;20, D1&lt;100), "YES", "NO")</f>
        <v/>
      </c>
    </row>
    <row r="37">
      <c r="A37" s="20" t="inlineStr">
        <is>
          <t>Result:</t>
        </is>
      </c>
      <c r="B37" s="22" t="inlineStr">
        <is>
          <t>YES (50&lt;20 is FALSE, but 100&lt;100 is FALSE... Item A: 50&lt;20? NO, 50&lt;100? YES → "YES")</t>
        </is>
      </c>
    </row>
    <row r="38">
      <c r="A38" s="23" t="inlineStr">
        <is>
          <t>Explanation:</t>
        </is>
      </c>
    </row>
    <row r="39" ht="30" customHeight="1">
      <c r="A39" s="24" t="inlineStr">
        <is>
          <t>OR requires at least ONE condition TRUE. Notebook: 15&lt;20? YES → "YES" (reorder). Pencil: 50&lt;20? NO, 50&lt;100? NO → "NO" (don't reorder). Just one TRUE is enough.</t>
        </is>
      </c>
    </row>
    <row r="40">
      <c r="A40" s="23" t="inlineStr">
        <is>
          <t>Teacher's Comments:</t>
        </is>
      </c>
    </row>
    <row r="41" ht="50" customHeight="1">
      <c r="A41" s="24" t="inlineStr">
        <is>
          <t>• OR is lenient: needs ANY condition to be TRUE.
• If ANY condition is TRUE, result is TRUE.
• OR(FALSE, FALSE, TRUE) = TRUE (one success = whole thing succeeds).
• Inventory management: Reorder if low on quantity OR low on value (catch both types).
• Pro tip: Use OR for flexibility. Alert if payment overdue OR customer flagged OR invoice disputed (any triggers alert).
• Real scenario: Exception handling (flag any anomaly), eligibility (multiple pathways to qualify).</t>
        </is>
      </c>
    </row>
    <row r="43">
      <c r="A43" s="19" t="inlineStr">
        <is>
          <t>SOLUTION 6: Multiple Conditions with IFS (Cleaner)</t>
        </is>
      </c>
    </row>
    <row r="44">
      <c r="A44" s="20" t="inlineStr">
        <is>
          <t>Formula:</t>
        </is>
      </c>
      <c r="B44" s="21">
        <f>IFS(B1&gt;=5000, "Premium", B1&gt;=1000, "Standard", B1&lt;1000, "Basic")</f>
        <v/>
      </c>
    </row>
    <row r="45">
      <c r="A45" s="20" t="inlineStr">
        <is>
          <t>Result:</t>
        </is>
      </c>
      <c r="B45" s="22" t="inlineStr">
        <is>
          <t>Premium (6000&gt;=5000)</t>
        </is>
      </c>
    </row>
    <row r="46">
      <c r="A46" s="23" t="inlineStr">
        <is>
          <t>Explanation:</t>
        </is>
      </c>
    </row>
    <row r="47" ht="30" customHeight="1">
      <c r="A47" s="24" t="inlineStr">
        <is>
          <t>IFS tests conditions in order, returns value for first TRUE. 6000&gt;=5000? YES → "Premium" (stops). Company C: 800&gt;=5000? NO, 800&gt;=1000? NO, 800&lt;1000? YES → "Basic".</t>
        </is>
      </c>
    </row>
    <row r="48">
      <c r="A48" s="23" t="inlineStr">
        <is>
          <t>Teacher's Comments:</t>
        </is>
      </c>
    </row>
    <row r="49" ht="50" customHeight="1">
      <c r="A49" s="24" t="inlineStr">
        <is>
          <t>• IFS is Excel 2019+ (newer version). Much cleaner than nested IF for multiple tiers.
• Reads left to right: condition, value, condition, value, ...
• Order matters: Highest threshold first (like nested IF).
• Better than nested IF because it's readable at a glance.
• Alternative in older Excel: Use nested IF or VLOOKUP with lookup table.
• Real scenario: Service tiers (Bronze/Silver/Gold), performance ratings (Poor/Average/Good/Excellent), price brackets.</t>
        </is>
      </c>
    </row>
    <row r="51">
      <c r="A51" s="19" t="inlineStr">
        <is>
          <t>SOLUTION 7: Handle Errors with IFERROR</t>
        </is>
      </c>
    </row>
    <row r="52">
      <c r="A52" s="20" t="inlineStr">
        <is>
          <t>Formula:</t>
        </is>
      </c>
      <c r="B52" s="21">
        <f>IFERROR(B1/C1, "N/A")</f>
        <v/>
      </c>
    </row>
    <row r="53">
      <c r="A53" s="20" t="inlineStr">
        <is>
          <t>Result:</t>
        </is>
      </c>
      <c r="B53" s="22" t="inlineStr">
        <is>
          <t>N/A (2000 divided by 0 causes #DIV/0! error)</t>
        </is>
      </c>
    </row>
    <row r="54">
      <c r="A54" s="23" t="inlineStr">
        <is>
          <t>Explanation:</t>
        </is>
      </c>
    </row>
    <row r="55" ht="30" customHeight="1">
      <c r="A55" s="24" t="inlineStr">
        <is>
          <t>IFERROR catches errors (like #DIV/0!, #N/A, #REF!) and returns "N/A" instead. Item B: 2000/0 would error normally, but IFERROR displays "N/A". Item A: 1500/50 = 30, no error so shows result.</t>
        </is>
      </c>
    </row>
    <row r="56">
      <c r="A56" s="23" t="inlineStr">
        <is>
          <t>Teacher's Comments:</t>
        </is>
      </c>
    </row>
    <row r="57" ht="50" customHeight="1">
      <c r="A57" s="24" t="inlineStr">
        <is>
          <t>• IFERROR wraps any formula and catches errors gracefully.
• Syntax: IFERROR(formula, value_if_error). If formula works, show result. If error, show value_if_error.
• Common errors caught: #DIV/0! (division by zero), #N/A (lookup failed), #REF! (bad cell reference), #VALUE! (wrong data type).
• Pro tip: Use with VLOOKUP: =IFERROR(VLOOKUP(...), "Not Found") instead of #N/A when item not in list.
• Real scenario: Division operations where denominator might be zero, lookup functions that might not find value, any formula prone to errors.</t>
        </is>
      </c>
    </row>
    <row r="59">
      <c r="A59" s="19" t="inlineStr">
        <is>
          <t>SOLUTION 8: Complex Logic - AND/OR Combined</t>
        </is>
      </c>
    </row>
    <row r="60">
      <c r="A60" s="20" t="inlineStr">
        <is>
          <t>Formula:</t>
        </is>
      </c>
      <c r="B60" s="21">
        <f>IF(OR(AND(B1&gt;500, C1="Yes"), B1&gt;2000), "YES", "NO")</f>
        <v/>
      </c>
    </row>
    <row r="61">
      <c r="A61" s="20" t="inlineStr">
        <is>
          <t>Result:</t>
        </is>
      </c>
      <c r="B61" s="22" t="inlineStr">
        <is>
          <t>YES (ORD3: 2500&gt;2000)</t>
        </is>
      </c>
    </row>
    <row r="62">
      <c r="A62" s="23" t="inlineStr">
        <is>
          <t>Explanation:</t>
        </is>
      </c>
    </row>
    <row r="63" ht="30" customHeight="1">
      <c r="A63" s="24" t="inlineStr">
        <is>
          <t>OR(AND(...), ...) combines logic levels. AND tests (B&gt;500 AND VIP="Yes"), then OR asks "is AND true OR B&gt;2000". ORD2: 400&gt;500? NO (AND fails), 400&gt;2000? NO (both fail) → "NO".</t>
        </is>
      </c>
    </row>
    <row r="64">
      <c r="A64" s="23" t="inlineStr">
        <is>
          <t>Teacher's Comments:</t>
        </is>
      </c>
    </row>
    <row r="65" ht="50" customHeight="1">
      <c r="A65" s="24" t="inlineStr">
        <is>
          <t>• Combining AND/OR creates sophisticated logic.
• Read carefully: OR(AND(B&gt;500, C="Yes"), B&gt;2000) means: (Amount&gt;500 AND VIP) OR (Amount&gt;2000).
• Order of operations: AND evaluated first, then OR wrapping it.
• Parentheses crucial: OR(AND(...), B&gt;2000) not the same as AND(OR(...), B&gt;2000).
• Real scenario: Multi-factor authentication (email OR phone verified), discount eligibility (loyal customer AND high spend, OR just super high spend).</t>
        </is>
      </c>
    </row>
    <row r="67">
      <c r="A67" s="19" t="inlineStr">
        <is>
          <t>SOLUTION 9: Check for Errors with ISERROR</t>
        </is>
      </c>
    </row>
    <row r="68">
      <c r="A68" s="20" t="inlineStr">
        <is>
          <t>Formula:</t>
        </is>
      </c>
      <c r="B68" s="21">
        <f>IF(ISERROR(A1/B1), "Data Error", A1/B1)</f>
        <v/>
      </c>
    </row>
    <row r="69">
      <c r="A69" s="20" t="inlineStr">
        <is>
          <t>Result:</t>
        </is>
      </c>
      <c r="B69" s="22" t="inlineStr">
        <is>
          <t>Data Error (50/0 causes #DIV/0!)</t>
        </is>
      </c>
    </row>
    <row r="70">
      <c r="A70" s="23" t="inlineStr">
        <is>
          <t>Explanation:</t>
        </is>
      </c>
    </row>
    <row r="71" ht="30" customHeight="1">
      <c r="A71" s="24" t="inlineStr">
        <is>
          <t>ISERROR(formula) returns TRUE if error, FALSE if no error. Use with IF: if error, show "Data Error", else show result. Row 2: 50/0 errors, so ISERROR=TRUE → "Data Error".</t>
        </is>
      </c>
    </row>
    <row r="72">
      <c r="A72" s="23" t="inlineStr">
        <is>
          <t>Teacher's Comments:</t>
        </is>
      </c>
    </row>
    <row r="73" ht="50" customHeight="1">
      <c r="A73" s="24" t="inlineStr">
        <is>
          <t>• ISERROR detects errors, useful for validation and debugging.
• Similar to IFERROR but different: ISERROR returns TRUE/FALSE, IFERROR returns actual result or fallback.
• Use ISERROR for: Validation messages ("This field contains an error"), conditional logic (if error, flag as suspicious), data quality checks.
• Alternative: IFERROR is usually cleaner for same task. =IFERROR(A1/B1, "Data Error") vs =IF(ISERROR(A1/B1), "Data Error", A1/B1).
• Real scenario: Data validation in imports (flag rows with errors), quality control checks, error logging.</t>
        </is>
      </c>
    </row>
    <row r="75">
      <c r="A75" s="19" t="inlineStr">
        <is>
          <t>SOLUTION 10: Complex Business Logic (Bonus Eligibility)</t>
        </is>
      </c>
    </row>
    <row r="76">
      <c r="A76" s="20" t="inlineStr">
        <is>
          <t>Formula:</t>
        </is>
      </c>
      <c r="B76" s="21">
        <f>IFS(OR(AND(B1&gt;2, C1="Excellent"), D1&gt;500000), "Full", B1&gt;1, "Half", TRUE, "None")</f>
        <v/>
      </c>
    </row>
    <row r="77">
      <c r="A77" s="20" t="inlineStr">
        <is>
          <t>Result:</t>
        </is>
      </c>
      <c r="B77" s="22" t="inlineStr">
        <is>
          <t>Full (Emily: 4&gt;2 AND "Excellent" OR 600000&gt;500000)</t>
        </is>
      </c>
    </row>
    <row r="78">
      <c r="A78" s="23" t="inlineStr">
        <is>
          <t>Explanation:</t>
        </is>
      </c>
    </row>
    <row r="79" ht="30" customHeight="1">
      <c r="A79" s="24" t="inlineStr">
        <is>
          <t>IFS tests: Full if (Years&gt;2 AND Rating="Excellent") OR (Sales&gt;$500K). Half if Years&gt;1. None otherwise. Emily: (4&gt;2 AND "Excellent")? YES → "Full". Mike: (1&gt;2 AND "Excellent")? NO, 300000&gt;500000? NO, then 1&gt;1? NO → "None".</t>
        </is>
      </c>
    </row>
    <row r="80">
      <c r="A80" s="23" t="inlineStr">
        <is>
          <t>Teacher's Comments:</t>
        </is>
      </c>
    </row>
    <row r="81" ht="50" customHeight="1">
      <c r="A81" s="24" t="inlineStr">
        <is>
          <t>• This demonstrates real-world business logic in formulas.
• Bonus structure incentivizes: (A) Long tenure + excellent performance, OR (B) Exceptional sales regardless of tenure.
• Multiple pathways to reward: encourages different types of contribution.
• Pro tip: Document business logic separately. Comments in spreadsheet help explain why formula exists.
• Real scenario: Commission structures, promotion eligibility, compensation tiers, access control (complex qualification rules).
• Advanced: Store thresholds in cells ($C$1=2, $C$2=500000) instead of hardcoding for easier updates.</t>
        </is>
      </c>
    </row>
  </sheetData>
  <mergeCells count="31">
    <mergeCell ref="A9:H9"/>
    <mergeCell ref="A67:H67"/>
    <mergeCell ref="A39:H39"/>
    <mergeCell ref="A15:H15"/>
    <mergeCell ref="A59:H59"/>
    <mergeCell ref="A73:H73"/>
    <mergeCell ref="A51:H51"/>
    <mergeCell ref="A11:H11"/>
    <mergeCell ref="A49:H49"/>
    <mergeCell ref="A1:H1"/>
    <mergeCell ref="A79:H79"/>
    <mergeCell ref="A7:H7"/>
    <mergeCell ref="A25:H25"/>
    <mergeCell ref="A65:H65"/>
    <mergeCell ref="A41:H41"/>
    <mergeCell ref="A75:H75"/>
    <mergeCell ref="A27:H27"/>
    <mergeCell ref="A3:H3"/>
    <mergeCell ref="A55:H55"/>
    <mergeCell ref="A57:H57"/>
    <mergeCell ref="A71:H71"/>
    <mergeCell ref="A33:H33"/>
    <mergeCell ref="A47:H47"/>
    <mergeCell ref="A23:H23"/>
    <mergeCell ref="A17:H17"/>
    <mergeCell ref="A35:H35"/>
    <mergeCell ref="A43:H43"/>
    <mergeCell ref="A81:H81"/>
    <mergeCell ref="A63:H63"/>
    <mergeCell ref="A19:H1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2025-12-07T08:18:48Z</dcterms:created>
  <dcterms:modified xmlns:dcterms="http://purl.org/dc/terms/" xmlns:xsi="http://www.w3.org/2001/XMLSchema-instance" xsi:type="dcterms:W3CDTF">2025-12-07T08:20:04Z</dcterms:modified>
</cp:coreProperties>
</file>