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2">
    <font>
      <name val="Calibri"/>
      <family val="2"/>
      <color theme="1"/>
      <sz val="11"/>
      <scheme val="minor"/>
    </font>
    <font>
      <name val="Calibri"/>
      <b val="1"/>
      <color rgb="00FF8C00"/>
      <sz val="14"/>
    </font>
    <font>
      <name val="Calibri"/>
      <i val="1"/>
      <color rgb="00666666"/>
      <sz val="11"/>
    </font>
    <font>
      <name val="Calibri"/>
      <b val="1"/>
      <color rgb="00FF8C00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name val="Calibri"/>
      <b val="1"/>
      <color rgb="00FFFFFF"/>
      <sz val="12"/>
    </font>
    <font>
      <i val="1"/>
      <color rgb="000070C0"/>
      <sz val="9"/>
    </font>
    <font>
      <b val="1"/>
    </font>
    <font>
      <name val="Courier New"/>
      <color rgb="00C00000"/>
      <sz val="9"/>
    </font>
    <font>
      <b val="1"/>
      <color rgb="00FF8C00"/>
    </font>
  </fonts>
  <fills count="9">
    <fill>
      <patternFill/>
    </fill>
    <fill>
      <patternFill patternType="gray125"/>
    </fill>
    <fill>
      <patternFill patternType="solid">
        <fgColor rgb="00FFE4B5"/>
        <bgColor rgb="00FFE4B5"/>
      </patternFill>
    </fill>
    <fill>
      <patternFill patternType="solid">
        <fgColor rgb="00FF8C00"/>
        <bgColor rgb="00FF8C0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0" fillId="0" borderId="1" pivotButton="0" quotePrefix="0" xfId="0"/>
    <xf numFmtId="0" fontId="8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0" fontId="7" fillId="3" borderId="1" applyAlignment="1" pivotButton="0" quotePrefix="0" xfId="0">
      <alignment wrapText="1"/>
    </xf>
    <xf numFmtId="0" fontId="3" fillId="6" borderId="0" pivotButton="0" quotePrefix="0" xfId="0"/>
    <xf numFmtId="0" fontId="9" fillId="0" borderId="0" pivotButton="0" quotePrefix="0" xfId="0"/>
    <xf numFmtId="0" fontId="10" fillId="7" borderId="0" applyAlignment="1" pivotButton="0" quotePrefix="0" xfId="0">
      <alignment wrapText="1"/>
    </xf>
    <xf numFmtId="0" fontId="0" fillId="8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LOOKUP FUNCTIONS FOR DATA RETRIEVAL</t>
        </is>
      </c>
    </row>
    <row r="2">
      <c r="A2" s="2" t="inlineStr">
        <is>
          <t>Master VLOOKUP, INDEX/MATCH, XLOOKUP: Find &amp; Retrieve Data Anywhere</t>
        </is>
      </c>
    </row>
    <row r="4">
      <c r="A4" s="3" t="inlineStr">
        <is>
          <t>LEARNING OBJECTIVES</t>
        </is>
      </c>
    </row>
    <row r="5">
      <c r="A5" s="4" t="inlineStr">
        <is>
          <t>✓ Master VLOOKUP for vertical lookups (find data in columns)</t>
        </is>
      </c>
    </row>
    <row r="6">
      <c r="A6" s="4" t="inlineStr">
        <is>
          <t>✓ Understand HLOOKUP for horizontal lookups (find data in rows)</t>
        </is>
      </c>
    </row>
    <row r="7">
      <c r="A7" s="4" t="inlineStr">
        <is>
          <t>✓ Use INDEX/MATCH for flexible lookups (more powerful than VLOOKUP)</t>
        </is>
      </c>
    </row>
    <row r="8">
      <c r="A8" s="4" t="inlineStr">
        <is>
          <t>✓ Learn XLOOKUP (Excel 365, simplest syntax)</t>
        </is>
      </c>
    </row>
    <row r="9">
      <c r="A9" s="4" t="inlineStr">
        <is>
          <t>✓ Handle lookup errors gracefully with IFERROR</t>
        </is>
      </c>
    </row>
    <row r="10">
      <c r="A10" s="4" t="inlineStr">
        <is>
          <t>✓ Understand exact match vs approximate match</t>
        </is>
      </c>
    </row>
    <row r="11">
      <c r="A11" s="4" t="inlineStr">
        <is>
          <t>✓ Perform lookups on multiple criteria</t>
        </is>
      </c>
    </row>
    <row r="12">
      <c r="A12" s="4" t="inlineStr">
        <is>
          <t>✓ Apply to real scenarios: employee lookups, price tables, customer data</t>
        </is>
      </c>
    </row>
    <row r="14">
      <c r="A14" s="3" t="inlineStr">
        <is>
          <t>CORE LOOKUP FUNCTIONS OVERVIEW</t>
        </is>
      </c>
    </row>
    <row r="15">
      <c r="A15" s="5" t="inlineStr">
        <is>
          <t>Function</t>
        </is>
      </c>
      <c r="B15" s="5" t="inlineStr">
        <is>
          <t>Syntax</t>
        </is>
      </c>
      <c r="C15" s="5" t="inlineStr">
        <is>
          <t>Best For</t>
        </is>
      </c>
      <c r="D15" s="5" t="inlineStr">
        <is>
          <t>Key Advantage</t>
        </is>
      </c>
    </row>
    <row r="16">
      <c r="A16" s="5" t="inlineStr">
        <is>
          <t>VLOOKUP</t>
        </is>
      </c>
      <c r="B16" s="5">
        <f>VLOOKUP(lookup_value, table_array, col_index, [FALSE])</f>
        <v/>
      </c>
      <c r="C16" s="5" t="inlineStr">
        <is>
          <t>Vertical lookups in columns (left→right)</t>
        </is>
      </c>
      <c r="D16" s="5" t="inlineStr">
        <is>
          <t>Simple, widely compatible</t>
        </is>
      </c>
    </row>
    <row r="17">
      <c r="A17" s="5" t="inlineStr">
        <is>
          <t>HLOOKUP</t>
        </is>
      </c>
      <c r="B17" s="5">
        <f>HLOOKUP(lookup_value, table_array, row_index, [FALSE])</f>
        <v/>
      </c>
      <c r="C17" s="5" t="inlineStr">
        <is>
          <t>Horizontal lookups in rows (top→bottom)</t>
        </is>
      </c>
      <c r="D17" s="5" t="inlineStr">
        <is>
          <t>Works with row-oriented data</t>
        </is>
      </c>
    </row>
    <row r="18">
      <c r="A18" s="5" t="inlineStr">
        <is>
          <t>INDEX/MATCH</t>
        </is>
      </c>
      <c r="B18" s="5">
        <f>INDEX(array, MATCH(value, lookup_array, 0))</f>
        <v/>
      </c>
      <c r="C18" s="5" t="inlineStr">
        <is>
          <t>Flexible lookups (any direction)</t>
        </is>
      </c>
      <c r="D18" s="5" t="inlineStr">
        <is>
          <t>More powerful, can search right-to-left</t>
        </is>
      </c>
    </row>
    <row r="19">
      <c r="A19" s="5" t="inlineStr">
        <is>
          <t>XLOOKUP</t>
        </is>
      </c>
      <c r="B19" s="5">
        <f>XLOOKUP(lookup_value, lookup_array, return_array, [if_not_found])</f>
        <v/>
      </c>
      <c r="C19" s="5" t="inlineStr">
        <is>
          <t>Modern replacement for VLOOKUP</t>
        </is>
      </c>
      <c r="D19" s="5" t="inlineStr">
        <is>
          <t>Simplest syntax, Excel 365 only</t>
        </is>
      </c>
    </row>
    <row r="20">
      <c r="A20" s="5" t="inlineStr">
        <is>
          <t>LOOKUP</t>
        </is>
      </c>
      <c r="B20" s="5">
        <f>LOOKUP(lookup_value, lookup_array, return_array)</f>
        <v/>
      </c>
      <c r="C20" s="5" t="inlineStr">
        <is>
          <t>Simple sorted array lookups</t>
        </is>
      </c>
      <c r="D20" s="5" t="inlineStr">
        <is>
          <t>Legacy, use VLOOKUP/INDEX instead</t>
        </is>
      </c>
    </row>
    <row r="22">
      <c r="A22" s="3" t="inlineStr">
        <is>
          <t>KEY CONCEPTS FOR LOOKUP FUNCTIONS</t>
        </is>
      </c>
    </row>
    <row r="23">
      <c r="A23" s="6" t="inlineStr">
        <is>
          <t>VLOOKUP SYNTAX</t>
        </is>
      </c>
    </row>
    <row r="24" ht="30" customHeight="1">
      <c r="A24" s="7">
        <f>VLOOKUP(lookup_value, table, col_index, [range_lookup]). Lookup in FIRST column, return from column N. FALSE=exact match, TRUE=approximate.</f>
        <v/>
      </c>
    </row>
    <row r="25">
      <c r="A25" s="6" t="inlineStr">
        <is>
          <t>MATCH/INDEX</t>
        </is>
      </c>
    </row>
    <row r="26" ht="30" customHeight="1">
      <c r="A26" s="7" t="inlineStr">
        <is>
          <t>INDEX returns value at position. MATCH finds position. Combined: =INDEX(return_range, MATCH(lookup, search_range, 0)) = search any column, return any column.</t>
        </is>
      </c>
    </row>
    <row r="27">
      <c r="A27" s="6" t="inlineStr">
        <is>
          <t>EXACT vs APPROXIMATE</t>
        </is>
      </c>
    </row>
    <row r="28" ht="30" customHeight="1">
      <c r="A28" s="7" t="inlineStr">
        <is>
          <t>FALSE or 0 = exact match required. TRUE or 1 = approximate (closest match, data must be sorted). Most use FALSE for accuracy.</t>
        </is>
      </c>
    </row>
    <row r="29">
      <c r="A29" s="6" t="inlineStr">
        <is>
          <t>LOOKUP LIMITATIONS</t>
        </is>
      </c>
    </row>
    <row r="30" ht="30" customHeight="1">
      <c r="A30" s="7" t="inlineStr">
        <is>
          <t>VLOOKUP searches LEFT-TO-RIGHT only (leftmost column must be lookup column). INDEX/MATCH searches any direction (more flexible).</t>
        </is>
      </c>
    </row>
    <row r="32">
      <c r="A32" s="3" t="inlineStr">
        <is>
          <t>BEST PRACTICES FOR LOOKUP FUNCTIONS</t>
        </is>
      </c>
    </row>
    <row r="33">
      <c r="A33" s="4" t="inlineStr">
        <is>
          <t>🔹 Always use IFERROR with lookups: =IFERROR(VLOOKUP(...), "Not Found") to handle missing data gracefully</t>
        </is>
      </c>
    </row>
    <row r="34">
      <c r="A34" s="4" t="inlineStr">
        <is>
          <t>🔹 Use FALSE (exact match) unless you have specific reason for approximate match. Exact is safer.</t>
        </is>
      </c>
    </row>
    <row r="35">
      <c r="A35" s="4" t="inlineStr">
        <is>
          <t>🔹 Lookup column must be FIRST column in VLOOKUP range. If it's not, rearrange data or use INDEX/MATCH instead.</t>
        </is>
      </c>
    </row>
    <row r="36">
      <c r="A36" s="4" t="inlineStr">
        <is>
          <t>🔹 For left-to-right lookups (find data to the LEFT of lookup column), use INDEX/MATCH, never VLOOKUP</t>
        </is>
      </c>
    </row>
    <row r="37">
      <c r="A37" s="4" t="inlineStr">
        <is>
          <t>🔹 Use absolute references ($) for lookup table: =VLOOKUP(A2, $C$1:$E$100, 2, 0) so table doesn't shift when copied</t>
        </is>
      </c>
    </row>
    <row r="39">
      <c r="A39" s="8" t="inlineStr">
        <is>
          <t>COMMON MISTAKES TO AVOID</t>
        </is>
      </c>
    </row>
    <row r="40">
      <c r="A40" s="4" t="inlineStr">
        <is>
          <t>❌ Column index &gt; number of columns in range: =VLOOKUP(A1, B1:C10, 5, 0) fails (only 2 columns but asking for column 5)</t>
        </is>
      </c>
    </row>
    <row r="41">
      <c r="A41" s="4" t="inlineStr">
        <is>
          <t>❌ Forgot absolute references: =VLOOKUP(A2, C1:E100, 2, 0) moves C1:E100 when copied (becomes D1:F100 in next row)</t>
        </is>
      </c>
    </row>
    <row r="42">
      <c r="A42" s="4" t="inlineStr">
        <is>
          <t>❌ Lookup column not first: VLOOKUP(123, B:D, ...) fails if lookup value is in column D, not B. Use INDEX/MATCH instead.</t>
        </is>
      </c>
    </row>
    <row r="43">
      <c r="A43" s="4" t="inlineStr">
        <is>
          <t>❌ Wrong range_lookup parameter: =VLOOKUP(..., FALSE) exact match, but data is unsorted. Returns #N/A. Use TRUE only if data sorted.</t>
        </is>
      </c>
    </row>
    <row r="44">
      <c r="A44" s="4" t="inlineStr">
        <is>
          <t>❌ No error handling: #N/A errors propagate. Always wrap with IFERROR or IFNA.</t>
        </is>
      </c>
    </row>
  </sheetData>
  <mergeCells count="33">
    <mergeCell ref="A41:F41"/>
    <mergeCell ref="A37:F37"/>
    <mergeCell ref="A27:F27"/>
    <mergeCell ref="A12:F12"/>
    <mergeCell ref="A26:F26"/>
    <mergeCell ref="A2:F2"/>
    <mergeCell ref="A33:F33"/>
    <mergeCell ref="A42:F42"/>
    <mergeCell ref="A14:F14"/>
    <mergeCell ref="A5:F5"/>
    <mergeCell ref="A23:F23"/>
    <mergeCell ref="A32:F32"/>
    <mergeCell ref="A8:F8"/>
    <mergeCell ref="A22:F22"/>
    <mergeCell ref="A35:F35"/>
    <mergeCell ref="A4:F4"/>
    <mergeCell ref="A29:F29"/>
    <mergeCell ref="A43:F43"/>
    <mergeCell ref="A10:F10"/>
    <mergeCell ref="A28:F28"/>
    <mergeCell ref="A44:F44"/>
    <mergeCell ref="A9:F9"/>
    <mergeCell ref="A34:F34"/>
    <mergeCell ref="A40:F40"/>
    <mergeCell ref="A30:F30"/>
    <mergeCell ref="A39:F39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10 REAL-WORLD LOOKUP FUNCTIONS PRACTICE EXERCISES</t>
        </is>
      </c>
    </row>
    <row r="3">
      <c r="A3" s="9" t="inlineStr">
        <is>
          <t>EXERCISE 1: Basic VLOOKUP (Employee Lookup)</t>
        </is>
      </c>
    </row>
    <row r="4">
      <c r="A4" s="10" t="inlineStr">
        <is>
          <t>Task: Look up employee phone numbers from the employee table below.</t>
        </is>
      </c>
    </row>
    <row r="6">
      <c r="A6" s="11" t="inlineStr">
        <is>
          <t>Employee ID</t>
        </is>
      </c>
      <c r="B6" s="11" t="inlineStr">
        <is>
          <t>Name</t>
        </is>
      </c>
      <c r="C6" s="11" t="inlineStr">
        <is>
          <t>Department</t>
        </is>
      </c>
      <c r="D6" s="11" t="inlineStr">
        <is>
          <t>Phone</t>
        </is>
      </c>
    </row>
    <row r="7">
      <c r="A7" s="12" t="n">
        <v>1001</v>
      </c>
      <c r="B7" s="12" t="inlineStr">
        <is>
          <t>John Smith</t>
        </is>
      </c>
      <c r="C7" s="12" t="inlineStr">
        <is>
          <t>Sales</t>
        </is>
      </c>
      <c r="D7" s="12" t="inlineStr">
        <is>
          <t>555-1234</t>
        </is>
      </c>
    </row>
    <row r="8">
      <c r="A8" s="12" t="n">
        <v>1002</v>
      </c>
      <c r="B8" s="12" t="inlineStr">
        <is>
          <t>Sarah Johnson</t>
        </is>
      </c>
      <c r="C8" s="12" t="inlineStr">
        <is>
          <t>IT</t>
        </is>
      </c>
      <c r="D8" s="12" t="inlineStr">
        <is>
          <t>555-2345</t>
        </is>
      </c>
    </row>
    <row r="9">
      <c r="A9" s="12" t="n">
        <v>1003</v>
      </c>
      <c r="B9" s="12" t="inlineStr">
        <is>
          <t>Mike Chen</t>
        </is>
      </c>
      <c r="C9" s="12" t="inlineStr">
        <is>
          <t>HR</t>
        </is>
      </c>
      <c r="D9" s="12" t="inlineStr">
        <is>
          <t>555-3456</t>
        </is>
      </c>
    </row>
    <row r="10">
      <c r="A10" s="12" t="n">
        <v>1004</v>
      </c>
      <c r="B10" s="12" t="inlineStr">
        <is>
          <t>Emily Davis</t>
        </is>
      </c>
      <c r="C10" s="12" t="inlineStr">
        <is>
          <t>Finance</t>
        </is>
      </c>
      <c r="D10" s="12" t="inlineStr">
        <is>
          <t>555-4567</t>
        </is>
      </c>
    </row>
    <row r="11">
      <c r="A11" s="12" t="n">
        <v>1005</v>
      </c>
      <c r="B11" s="12" t="inlineStr">
        <is>
          <t>David Wilson</t>
        </is>
      </c>
      <c r="C11" s="12" t="inlineStr">
        <is>
          <t>Operations</t>
        </is>
      </c>
      <c r="D11" s="12" t="inlineStr">
        <is>
          <t>555-5678</t>
        </is>
      </c>
    </row>
    <row r="14">
      <c r="A14" s="11" t="inlineStr">
        <is>
          <t>Find Employee ID</t>
        </is>
      </c>
      <c r="B14" s="11" t="inlineStr">
        <is>
          <t>Phone Number</t>
        </is>
      </c>
    </row>
    <row r="15">
      <c r="A15" s="12" t="n">
        <v>1003</v>
      </c>
      <c r="B15" s="12">
        <f>IFERROR(VLOOKUP(A15,$A$7:$D$11,4,0),"Not Found")</f>
        <v/>
      </c>
    </row>
    <row r="16">
      <c r="A16" s="12" t="n">
        <v>1001</v>
      </c>
      <c r="B16" s="12">
        <f>IFERROR(VLOOKUP(A16,$A$7:$D$11,4,0),"Not Found")</f>
        <v/>
      </c>
    </row>
    <row r="17">
      <c r="A17" s="12" t="n">
        <v>1005</v>
      </c>
      <c r="B17" s="12">
        <f>IFERROR(VLOOKUP(A17,$A$7:$D$11,4,0),"Not Found")</f>
        <v/>
      </c>
    </row>
    <row r="19">
      <c r="A19" s="13" t="inlineStr">
        <is>
          <t>💡 HINT: =IFERROR(VLOOKUP(A19, $A$7:$D$11, 4, 0), "Not Found"). Look in columns A-D (reference table), return column 4 (Phone), exact match (0=FALSE).</t>
        </is>
      </c>
    </row>
    <row r="21">
      <c r="A21" s="9" t="inlineStr">
        <is>
          <t>EXERCISE 2: VLOOKUP Different Columns (Product Lookup)</t>
        </is>
      </c>
    </row>
    <row r="22">
      <c r="A22" s="10" t="inlineStr">
        <is>
          <t>Task: Look up product information (price, stock level) from product table.</t>
        </is>
      </c>
    </row>
    <row r="24">
      <c r="A24" s="11" t="inlineStr">
        <is>
          <t>Product Code</t>
        </is>
      </c>
      <c r="B24" s="11" t="inlineStr">
        <is>
          <t>Product Name</t>
        </is>
      </c>
      <c r="C24" s="11" t="inlineStr">
        <is>
          <t>Price</t>
        </is>
      </c>
      <c r="D24" s="11" t="inlineStr">
        <is>
          <t>Stock Level</t>
        </is>
      </c>
    </row>
    <row r="25">
      <c r="A25" s="12" t="inlineStr">
        <is>
          <t>P001</t>
        </is>
      </c>
      <c r="B25" s="12" t="inlineStr">
        <is>
          <t>Laptop</t>
        </is>
      </c>
      <c r="C25" s="14" t="n">
        <v>999.99</v>
      </c>
      <c r="D25" s="12" t="n">
        <v>45</v>
      </c>
    </row>
    <row r="26">
      <c r="A26" s="12" t="inlineStr">
        <is>
          <t>P002</t>
        </is>
      </c>
      <c r="B26" s="12" t="inlineStr">
        <is>
          <t>Mouse</t>
        </is>
      </c>
      <c r="C26" s="14" t="n">
        <v>29.99</v>
      </c>
      <c r="D26" s="12" t="n">
        <v>200</v>
      </c>
    </row>
    <row r="27">
      <c r="A27" s="12" t="inlineStr">
        <is>
          <t>P003</t>
        </is>
      </c>
      <c r="B27" s="12" t="inlineStr">
        <is>
          <t>Monitor</t>
        </is>
      </c>
      <c r="C27" s="14" t="n">
        <v>299.99</v>
      </c>
      <c r="D27" s="12" t="n">
        <v>85</v>
      </c>
    </row>
    <row r="28">
      <c r="A28" s="12" t="inlineStr">
        <is>
          <t>P004</t>
        </is>
      </c>
      <c r="B28" s="12" t="inlineStr">
        <is>
          <t>Keyboard</t>
        </is>
      </c>
      <c r="C28" s="14" t="n">
        <v>79.98999999999999</v>
      </c>
      <c r="D28" s="12" t="n">
        <v>150</v>
      </c>
    </row>
    <row r="31">
      <c r="A31" s="11" t="inlineStr">
        <is>
          <t>Product Code</t>
        </is>
      </c>
      <c r="B31" s="11" t="inlineStr">
        <is>
          <t>Product Price</t>
        </is>
      </c>
      <c r="C31" s="11" t="inlineStr">
        <is>
          <t>Stock Level</t>
        </is>
      </c>
    </row>
    <row r="32">
      <c r="A32" s="12" t="inlineStr">
        <is>
          <t>P003</t>
        </is>
      </c>
      <c r="B32" s="14">
        <f>IFERROR(VLOOKUP(A32,$A$25:$D$28,3,0),"Not Found")</f>
        <v/>
      </c>
      <c r="C32" s="12">
        <f>IFERROR(VLOOKUP(A32,$A$25:$D$28,4,0),"Not Found")</f>
        <v/>
      </c>
    </row>
    <row r="33">
      <c r="A33" s="12" t="inlineStr">
        <is>
          <t>P001</t>
        </is>
      </c>
      <c r="B33" s="14">
        <f>IFERROR(VLOOKUP(A33,$A$25:$D$28,3,0),"Not Found")</f>
        <v/>
      </c>
      <c r="C33" s="12">
        <f>IFERROR(VLOOKUP(A33,$A$25:$D$28,4,0),"Not Found")</f>
        <v/>
      </c>
    </row>
    <row r="34">
      <c r="A34" s="12" t="inlineStr">
        <is>
          <t>P004</t>
        </is>
      </c>
      <c r="B34" s="14">
        <f>IFERROR(VLOOKUP(A34,$A$25:$D$28,3,0),"Not Found")</f>
        <v/>
      </c>
      <c r="C34" s="12">
        <f>IFERROR(VLOOKUP(A34,$A$25:$D$28,4,0),"Not Found")</f>
        <v/>
      </c>
    </row>
    <row r="36">
      <c r="A36" s="13" t="inlineStr">
        <is>
          <t>💡 HINT: Same table, different column indexes. Col 3=Price, Col 4=Stock. Col_index parameter changes what you get back.</t>
        </is>
      </c>
    </row>
    <row r="38">
      <c r="A38" s="9" t="inlineStr">
        <is>
          <t>EXERCISE 3: VLOOKUP with Approximate Match (Commission Table)</t>
        </is>
      </c>
    </row>
    <row r="39">
      <c r="A39" s="10" t="inlineStr">
        <is>
          <t>Task: Find commission rate based on sales amount. Use approximate match (MUST be sorted). Sales $50K→5%, $100K→7%, $200K→10%.</t>
        </is>
      </c>
    </row>
    <row r="41">
      <c r="A41" s="11" t="inlineStr">
        <is>
          <t>Min Sales</t>
        </is>
      </c>
      <c r="B41" s="11" t="inlineStr">
        <is>
          <t>Commission %</t>
        </is>
      </c>
    </row>
    <row r="42">
      <c r="A42" s="15" t="n">
        <v>0</v>
      </c>
      <c r="B42" s="16" t="n">
        <v>0.02</v>
      </c>
    </row>
    <row r="43">
      <c r="A43" s="15" t="n">
        <v>50000</v>
      </c>
      <c r="B43" s="16" t="n">
        <v>0.05</v>
      </c>
    </row>
    <row r="44">
      <c r="A44" s="15" t="n">
        <v>100000</v>
      </c>
      <c r="B44" s="16" t="n">
        <v>0.07000000000000001</v>
      </c>
    </row>
    <row r="45">
      <c r="A45" s="15" t="n">
        <v>200000</v>
      </c>
      <c r="B45" s="16" t="n">
        <v>0.1</v>
      </c>
    </row>
    <row r="48">
      <c r="A48" s="11" t="inlineStr">
        <is>
          <t>Salesperson Sales</t>
        </is>
      </c>
      <c r="B48" s="11" t="inlineStr">
        <is>
          <t>Commission Rate</t>
        </is>
      </c>
    </row>
    <row r="49">
      <c r="A49" s="15" t="n">
        <v>75000</v>
      </c>
      <c r="B49" s="16">
        <f>IFERROR(VLOOKUP(A49,$A$42:$B$45,2,1),"Error")</f>
        <v/>
      </c>
    </row>
    <row r="50">
      <c r="A50" s="15" t="n">
        <v>150000</v>
      </c>
      <c r="B50" s="16">
        <f>IFERROR(VLOOKUP(A50,$A$42:$B$45,2,1),"Error")</f>
        <v/>
      </c>
    </row>
    <row r="51">
      <c r="A51" s="15" t="n">
        <v>25000</v>
      </c>
      <c r="B51" s="16">
        <f>IFERROR(VLOOKUP(A51,$A$42:$B$45,2,1),"Error")</f>
        <v/>
      </c>
    </row>
    <row r="53">
      <c r="A53" s="13" t="inlineStr">
        <is>
          <t>💡 HINT: Last parameter = 1 (TRUE, approximate match). Table MUST be sorted ascending. $75K→5% (between $50K and $100K tiers).</t>
        </is>
      </c>
    </row>
    <row r="55">
      <c r="A55" s="9" t="inlineStr">
        <is>
          <t>EXERCISE 4: INDEX/MATCH (Flexible Alternative to VLOOKUP)</t>
        </is>
      </c>
    </row>
    <row r="56">
      <c r="A56" s="10" t="inlineStr">
        <is>
          <t>Task: Use INDEX/MATCH instead of VLOOKUP. Same employee lookup, but more flexible syntax.</t>
        </is>
      </c>
    </row>
    <row r="58">
      <c r="A58" s="17" t="inlineStr">
        <is>
          <t>Find Employee ID</t>
        </is>
      </c>
      <c r="B58" s="17" t="inlineStr">
        <is>
          <t>Name (INDEX/MATCH)</t>
        </is>
      </c>
      <c r="C58" s="17" t="inlineStr">
        <is>
          <t>Department (INDEX/MATCH)</t>
        </is>
      </c>
    </row>
    <row r="59">
      <c r="A59" s="12" t="n">
        <v>1002</v>
      </c>
      <c r="B59" s="12">
        <f>IFERROR(INDEX($B$7:$B$11,MATCH(A59,$A$7:$A$11,0)),"Not Found")</f>
        <v/>
      </c>
      <c r="C59" s="12">
        <f>IFERROR(INDEX($C$7:$C$11,MATCH(A59,$A$7:$A$11,0)),"Not Found")</f>
        <v/>
      </c>
    </row>
    <row r="60">
      <c r="A60" s="12" t="n">
        <v>1004</v>
      </c>
      <c r="B60" s="12">
        <f>IFERROR(INDEX($B$7:$B$11,MATCH(A60,$A$7:$A$11,0)),"Not Found")</f>
        <v/>
      </c>
      <c r="C60" s="12">
        <f>IFERROR(INDEX($C$7:$C$11,MATCH(A60,$A$7:$A$11,0)),"Not Found")</f>
        <v/>
      </c>
    </row>
    <row r="62">
      <c r="A62" s="13" t="inlineStr">
        <is>
          <t>💡 HINT: INDEX returns value at position. MATCH finds position. Combined: =INDEX(return_range, MATCH(lookup, search_range, 0)). Can search/return any column.</t>
        </is>
      </c>
    </row>
    <row r="64">
      <c r="A64" s="9" t="inlineStr">
        <is>
          <t>EXERCISE 5: Two-Way Lookup (Find Value in Table Grid)</t>
        </is>
      </c>
    </row>
    <row r="65">
      <c r="A65" s="10" t="inlineStr">
        <is>
          <t>Task: Find price in 2D table (rows=products, columns=regions). Use VLOOKUP+MATCH or INDEX/MATCH.</t>
        </is>
      </c>
    </row>
    <row r="67">
      <c r="A67" s="11" t="inlineStr">
        <is>
          <t>Product</t>
        </is>
      </c>
      <c r="B67" s="11" t="inlineStr">
        <is>
          <t>North</t>
        </is>
      </c>
      <c r="C67" s="11" t="inlineStr">
        <is>
          <t>South</t>
        </is>
      </c>
      <c r="D67" s="11" t="inlineStr">
        <is>
          <t>East</t>
        </is>
      </c>
      <c r="E67" s="11" t="inlineStr">
        <is>
          <t>West</t>
        </is>
      </c>
    </row>
    <row r="68">
      <c r="A68" s="12" t="inlineStr">
        <is>
          <t>Laptop</t>
        </is>
      </c>
      <c r="B68" s="15" t="n">
        <v>999</v>
      </c>
      <c r="C68" s="15" t="n">
        <v>989</v>
      </c>
      <c r="D68" s="15" t="n">
        <v>1009</v>
      </c>
      <c r="E68" s="15" t="n">
        <v>979</v>
      </c>
    </row>
    <row r="69">
      <c r="A69" s="12" t="inlineStr">
        <is>
          <t>Mouse</t>
        </is>
      </c>
      <c r="B69" s="15" t="n">
        <v>29</v>
      </c>
      <c r="C69" s="15" t="n">
        <v>28</v>
      </c>
      <c r="D69" s="15" t="n">
        <v>30</v>
      </c>
      <c r="E69" s="15" t="n">
        <v>27</v>
      </c>
    </row>
    <row r="70">
      <c r="A70" s="12" t="inlineStr">
        <is>
          <t>Monitor</t>
        </is>
      </c>
      <c r="B70" s="15" t="n">
        <v>299</v>
      </c>
      <c r="C70" s="15" t="n">
        <v>295</v>
      </c>
      <c r="D70" s="15" t="n">
        <v>305</v>
      </c>
      <c r="E70" s="15" t="n">
        <v>289</v>
      </c>
    </row>
    <row r="73">
      <c r="A73" s="11" t="inlineStr">
        <is>
          <t>Find Product</t>
        </is>
      </c>
      <c r="B73" s="11" t="inlineStr">
        <is>
          <t>Find Region</t>
        </is>
      </c>
      <c r="C73" s="11" t="inlineStr">
        <is>
          <t>Price</t>
        </is>
      </c>
    </row>
    <row r="74">
      <c r="A74" s="12" t="inlineStr">
        <is>
          <t>Monitor</t>
        </is>
      </c>
      <c r="B74" s="12" t="inlineStr">
        <is>
          <t>East</t>
        </is>
      </c>
      <c r="C74" s="15">
        <f>IFERROR(INDEX($A$68:$E$70,MATCH(A74,$A$68:$A$70,0),MATCH(B74,$A$68:$E$68,0)),"Not Found")</f>
        <v/>
      </c>
    </row>
    <row r="75">
      <c r="A75" s="12" t="inlineStr">
        <is>
          <t>Laptop</t>
        </is>
      </c>
      <c r="B75" s="12" t="inlineStr">
        <is>
          <t>West</t>
        </is>
      </c>
      <c r="C75" s="15">
        <f>IFERROR(INDEX($A$68:$E$70,MATCH(A75,$A$68:$A$70,0),MATCH(B75,$A$68:$E$68,0)),"Not Found")</f>
        <v/>
      </c>
    </row>
    <row r="77">
      <c r="A77" s="13" t="inlineStr">
        <is>
          <t>💡 HINT: INDEX finds at row position (MATCH product), column position (MATCH region). Nested MATCH finds both dimensions!</t>
        </is>
      </c>
    </row>
    <row r="79">
      <c r="A79" s="9" t="inlineStr">
        <is>
          <t>EXERCISE 6: XLOOKUP (Modern Alternative, Excel 365+)</t>
        </is>
      </c>
    </row>
    <row r="80">
      <c r="A80" s="10" t="inlineStr">
        <is>
          <t>Task: Use XLOOKUP (simpler than VLOOKUP). Same employee lookup with cleaner syntax.</t>
        </is>
      </c>
    </row>
    <row r="82">
      <c r="A82" s="11" t="inlineStr">
        <is>
          <t>Find Employee ID</t>
        </is>
      </c>
      <c r="B82" s="11" t="inlineStr">
        <is>
          <t>Phone (XLOOKUP)</t>
        </is>
      </c>
    </row>
    <row r="83">
      <c r="A83" s="12" t="n">
        <v>1005</v>
      </c>
      <c r="B83" s="12">
        <f>IFERROR(XLOOKUP(A83,$A$7:$A$11,$D$7:$D$11,"Not Found"),"Error")</f>
        <v/>
      </c>
    </row>
    <row r="84">
      <c r="A84" s="12" t="n">
        <v>1002</v>
      </c>
      <c r="B84" s="12">
        <f>IFERROR(XLOOKUP(A84,$A$7:$A$11,$D$7:$D$11,"Not Found"),"Error")</f>
        <v/>
      </c>
    </row>
    <row r="86">
      <c r="A86" s="13" t="inlineStr">
        <is>
          <t>💡 HINT: XLOOKUP(lookup_value, lookup_array, return_array, [if_not_found]). Simpler than VLOOKUP! No column index, just specify return column directly.</t>
        </is>
      </c>
    </row>
    <row r="88">
      <c r="A88" s="9" t="inlineStr">
        <is>
          <t>EXERCISE 7: Multiple Matches (VLOOKUP Returns First Match)</t>
        </is>
      </c>
    </row>
    <row r="89">
      <c r="A89" s="10" t="inlineStr">
        <is>
          <t>Task: Lookup customer by ID (table has duplicates). VLOOKUP returns first match. See what happens.</t>
        </is>
      </c>
    </row>
    <row r="91">
      <c r="A91" s="11" t="inlineStr">
        <is>
          <t>Customer ID</t>
        </is>
      </c>
      <c r="B91" s="11" t="inlineStr">
        <is>
          <t>Order ID</t>
        </is>
      </c>
      <c r="C91" s="11" t="inlineStr">
        <is>
          <t>Amount</t>
        </is>
      </c>
    </row>
    <row r="92">
      <c r="A92" s="12" t="n">
        <v>5001</v>
      </c>
      <c r="B92" s="12" t="inlineStr">
        <is>
          <t>ORD-001</t>
        </is>
      </c>
      <c r="C92" s="15" t="n">
        <v>500</v>
      </c>
    </row>
    <row r="93">
      <c r="A93" s="12" t="n">
        <v>5001</v>
      </c>
      <c r="B93" s="12" t="inlineStr">
        <is>
          <t>ORD-002</t>
        </is>
      </c>
      <c r="C93" s="15" t="n">
        <v>750</v>
      </c>
    </row>
    <row r="94">
      <c r="A94" s="12" t="n">
        <v>5002</v>
      </c>
      <c r="B94" s="12" t="inlineStr">
        <is>
          <t>ORD-003</t>
        </is>
      </c>
      <c r="C94" s="15" t="n">
        <v>1200</v>
      </c>
    </row>
    <row r="95">
      <c r="A95" s="12" t="n">
        <v>5001</v>
      </c>
      <c r="B95" s="12" t="inlineStr">
        <is>
          <t>ORD-004</t>
        </is>
      </c>
      <c r="C95" s="15" t="n">
        <v>300</v>
      </c>
    </row>
    <row r="98">
      <c r="A98" s="11" t="inlineStr">
        <is>
          <t>Lookup Customer ID</t>
        </is>
      </c>
      <c r="B98" s="11" t="inlineStr">
        <is>
          <t>First Order ID</t>
        </is>
      </c>
      <c r="C98" s="11" t="inlineStr">
        <is>
          <t>Note</t>
        </is>
      </c>
    </row>
    <row r="99">
      <c r="A99" s="12" t="n">
        <v>5001</v>
      </c>
      <c r="B99" s="12">
        <f>IFERROR(VLOOKUP(A99,$A$92:$B$95,2,0),"Not Found")</f>
        <v/>
      </c>
      <c r="C99" s="12" t="inlineStr">
        <is>
          <t>(Note: Returns FIRST match only)</t>
        </is>
      </c>
    </row>
    <row r="100">
      <c r="A100" s="13" t="inlineStr">
        <is>
          <t>💡 HINT: Customer 5001 has 3 orders (ORD-001, 002, 004). VLOOKUP returns ORD-001 (first match). For all matches, need different approach (filter/pivot).</t>
        </is>
      </c>
    </row>
    <row r="102">
      <c r="A102" s="9" t="inlineStr">
        <is>
          <t>EXERCISE 8: Error Handling in Lookups (IFERROR, IFNA, XLOOKUP)</t>
        </is>
      </c>
    </row>
    <row r="103">
      <c r="A103" s="10" t="inlineStr">
        <is>
          <t>Task: Lookup product, show 'Not Available' if not found. Compare IFERROR vs XLOOKUP error handling.</t>
        </is>
      </c>
    </row>
    <row r="105">
      <c r="A105" s="11" t="inlineStr">
        <is>
          <t>Product Code</t>
        </is>
      </c>
      <c r="B105" s="11" t="inlineStr">
        <is>
          <t>Price (IFERROR)</t>
        </is>
      </c>
      <c r="C105" s="11" t="inlineStr">
        <is>
          <t>Stock (XLOOKUP)</t>
        </is>
      </c>
    </row>
    <row r="106">
      <c r="A106" s="12" t="inlineStr">
        <is>
          <t>P003</t>
        </is>
      </c>
      <c r="B106" s="14">
        <f>IFERROR(VLOOKUP(A106,$A$25:$D$28,3,0),"Not Available")</f>
        <v/>
      </c>
      <c r="C106" s="12">
        <f>XLOOKUP(A106,$A$25:$A$28,$D$25:$D$28,"N/A")</f>
        <v/>
      </c>
    </row>
    <row r="107">
      <c r="A107" s="12" t="inlineStr">
        <is>
          <t>P999</t>
        </is>
      </c>
      <c r="B107" s="14">
        <f>IFERROR(VLOOKUP(A107,$A$25:$D$28,3,0),"Not Available")</f>
        <v/>
      </c>
      <c r="C107" s="12">
        <f>XLOOKUP(A107,$A$25:$A$28,$D$25:$D$28,"N/A")</f>
        <v/>
      </c>
    </row>
    <row r="108">
      <c r="A108" s="12" t="inlineStr">
        <is>
          <t>P002</t>
        </is>
      </c>
      <c r="B108" s="14">
        <f>IFERROR(VLOOKUP(A108,$A$25:$D$28,3,0),"Not Available")</f>
        <v/>
      </c>
      <c r="C108" s="12">
        <f>XLOOKUP(A108,$A$25:$A$28,$D$25:$D$28,"N/A")</f>
        <v/>
      </c>
    </row>
    <row r="110">
      <c r="A110" s="13" t="inlineStr">
        <is>
          <t>💡 HINT: IFERROR catches all errors. XLOOKUP has built-in [if_not_found] parameter. Both work; XLOOKUP cleaner if available.</t>
        </is>
      </c>
    </row>
    <row r="112">
      <c r="A112" s="9" t="inlineStr">
        <is>
          <t>EXERCISE 9: Case-Sensitive Lookup (EXACT with INDEX/MATCH)</t>
        </is>
      </c>
    </row>
    <row r="113">
      <c r="A113" s="10" t="inlineStr">
        <is>
          <t>Task: Lookup is case-insensitive by default. For case-sensitive, combine EXACT with INDEX/MATCH.</t>
        </is>
      </c>
    </row>
    <row r="115">
      <c r="A115" s="11" t="inlineStr">
        <is>
          <t>Code</t>
        </is>
      </c>
      <c r="B115" s="11" t="inlineStr">
        <is>
          <t>Description</t>
        </is>
      </c>
    </row>
    <row r="116">
      <c r="A116" s="12" t="inlineStr">
        <is>
          <t>abc</t>
        </is>
      </c>
      <c r="B116" s="12" t="inlineStr">
        <is>
          <t>Lowercase</t>
        </is>
      </c>
    </row>
    <row r="117">
      <c r="A117" s="12" t="inlineStr">
        <is>
          <t>ABC</t>
        </is>
      </c>
      <c r="B117" s="12" t="inlineStr">
        <is>
          <t>Uppercase</t>
        </is>
      </c>
    </row>
    <row r="118">
      <c r="A118" s="12" t="inlineStr">
        <is>
          <t>Abc</t>
        </is>
      </c>
      <c r="B118" s="12" t="inlineStr">
        <is>
          <t>Mixed</t>
        </is>
      </c>
    </row>
    <row r="121">
      <c r="A121" s="11" t="inlineStr">
        <is>
          <t>Find Code</t>
        </is>
      </c>
      <c r="B121" s="11" t="inlineStr">
        <is>
          <t>Result (EXACT+INDEX)</t>
        </is>
      </c>
    </row>
    <row r="122">
      <c r="A122" s="12" t="inlineStr">
        <is>
          <t>ABC</t>
        </is>
      </c>
      <c r="B122" s="12">
        <f>IFERROR(INDEX($B$116:$B$118,MATCH(1,IF(EXACT($A$116:$A$118,A122),ROW($A$116:$A$118)-ROW($A$116)+1),0)),"Not Found")</f>
        <v/>
      </c>
    </row>
    <row r="123">
      <c r="A123" s="13" t="inlineStr">
        <is>
          <t>💡 HINT: EXACT function compares with case-sensitivity. Wrap with IF and INDEX/MATCH for case-sensitive lookup (advanced formula!).</t>
        </is>
      </c>
    </row>
    <row r="125">
      <c r="A125" s="9" t="inlineStr">
        <is>
          <t>EXERCISE 10: Conditional Lookup (Multiple Criteria with INDEX/MATCH)</t>
        </is>
      </c>
    </row>
    <row r="126">
      <c r="A126" s="10" t="inlineStr">
        <is>
          <t>Task: Find price for specific product-region combination. Use INDEX/MATCH with multiple criteria (advanced).</t>
        </is>
      </c>
    </row>
    <row r="128">
      <c r="A128" s="11" t="inlineStr">
        <is>
          <t>Product</t>
        </is>
      </c>
      <c r="B128" s="11" t="inlineStr">
        <is>
          <t>Region</t>
        </is>
      </c>
      <c r="C128" s="11" t="inlineStr">
        <is>
          <t>Price</t>
        </is>
      </c>
    </row>
    <row r="129">
      <c r="A129" s="12" t="inlineStr">
        <is>
          <t>Laptop</t>
        </is>
      </c>
      <c r="B129" s="12" t="inlineStr">
        <is>
          <t>North</t>
        </is>
      </c>
      <c r="C129" s="15" t="n">
        <v>999</v>
      </c>
    </row>
    <row r="130">
      <c r="A130" s="12" t="inlineStr">
        <is>
          <t>Laptop</t>
        </is>
      </c>
      <c r="B130" s="12" t="inlineStr">
        <is>
          <t>South</t>
        </is>
      </c>
      <c r="C130" s="15" t="n">
        <v>989</v>
      </c>
    </row>
    <row r="131">
      <c r="A131" s="12" t="inlineStr">
        <is>
          <t>Mouse</t>
        </is>
      </c>
      <c r="B131" s="12" t="inlineStr">
        <is>
          <t>North</t>
        </is>
      </c>
      <c r="C131" s="15" t="n">
        <v>29</v>
      </c>
    </row>
    <row r="132">
      <c r="A132" s="12" t="inlineStr">
        <is>
          <t>Mouse</t>
        </is>
      </c>
      <c r="B132" s="12" t="inlineStr">
        <is>
          <t>South</t>
        </is>
      </c>
      <c r="C132" s="15" t="n">
        <v>28</v>
      </c>
    </row>
    <row r="135">
      <c r="A135" s="11" t="inlineStr">
        <is>
          <t>Find Product</t>
        </is>
      </c>
      <c r="B135" s="11" t="inlineStr">
        <is>
          <t>Find Region</t>
        </is>
      </c>
      <c r="C135" s="11" t="inlineStr">
        <is>
          <t>Price (INDEX/MATCH)</t>
        </is>
      </c>
    </row>
    <row r="136">
      <c r="A136" s="12" t="inlineStr">
        <is>
          <t>Mouse</t>
        </is>
      </c>
      <c r="B136" s="12" t="inlineStr">
        <is>
          <t>South</t>
        </is>
      </c>
      <c r="C136" s="15">
        <f>IFERROR(INDEX($C$129:$C$132,MATCH(1,(($A$129:$A$132=A136)*($B$129:$B$132=B136)),0)),"Not Found")</f>
        <v/>
      </c>
    </row>
    <row r="137">
      <c r="A137" s="13" t="inlineStr">
        <is>
          <t>💡 HINT: Multiple criteria: product AND region match. Uses array formula with * (AND logic). Advanced INDEX/MATCH technique!</t>
        </is>
      </c>
    </row>
  </sheetData>
  <mergeCells count="31">
    <mergeCell ref="A39:H39"/>
    <mergeCell ref="A77:H77"/>
    <mergeCell ref="A64:H64"/>
    <mergeCell ref="A36:H36"/>
    <mergeCell ref="A1:H1"/>
    <mergeCell ref="A103:H103"/>
    <mergeCell ref="A110:H110"/>
    <mergeCell ref="A79:H79"/>
    <mergeCell ref="A123:H123"/>
    <mergeCell ref="A88:H88"/>
    <mergeCell ref="A65:H65"/>
    <mergeCell ref="A137:H137"/>
    <mergeCell ref="A80:H80"/>
    <mergeCell ref="A89:H89"/>
    <mergeCell ref="A56:H56"/>
    <mergeCell ref="A3:H3"/>
    <mergeCell ref="A21:H21"/>
    <mergeCell ref="A55:H55"/>
    <mergeCell ref="A86:H86"/>
    <mergeCell ref="A113:H113"/>
    <mergeCell ref="A126:H126"/>
    <mergeCell ref="A22:H22"/>
    <mergeCell ref="A4:H4"/>
    <mergeCell ref="A62:H62"/>
    <mergeCell ref="A100:H100"/>
    <mergeCell ref="A53:H53"/>
    <mergeCell ref="A38:H38"/>
    <mergeCell ref="A125:H125"/>
    <mergeCell ref="A112:H112"/>
    <mergeCell ref="A19:H19"/>
    <mergeCell ref="A102:H1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EXPLANATIONS</t>
        </is>
      </c>
    </row>
    <row r="3">
      <c r="A3" s="18" t="inlineStr">
        <is>
          <t>SOLUTION 1: Basic VLOOKUP</t>
        </is>
      </c>
    </row>
    <row r="4">
      <c r="A4" s="19" t="inlineStr">
        <is>
          <t>Formula:</t>
        </is>
      </c>
      <c r="B4" s="20">
        <f>IFERROR(VLOOKUP(1003, $A$7:$D$11, 4, 0), "Not Found")</f>
        <v/>
      </c>
    </row>
    <row r="5">
      <c r="A5" s="19" t="inlineStr">
        <is>
          <t>Result:</t>
        </is>
      </c>
      <c r="B5" s="21" t="inlineStr">
        <is>
          <t>555-3456 (Mike Chen's phone)</t>
        </is>
      </c>
    </row>
    <row r="6">
      <c r="A6" s="22" t="inlineStr">
        <is>
          <t>Explanation:</t>
        </is>
      </c>
    </row>
    <row r="7" ht="30" customHeight="1">
      <c r="A7" s="23" t="inlineStr">
        <is>
          <t>VLOOKUP searches column A (Employee ID 1003), returns column 4 (Phone). 0=exact match. $A$7:$D$11 is the reference table with absolute refs (won't shift when copied).</t>
        </is>
      </c>
    </row>
    <row r="8">
      <c r="A8" s="22" t="inlineStr">
        <is>
          <t>Teacher's Comments:</t>
        </is>
      </c>
    </row>
    <row r="9" ht="50" customHeight="1">
      <c r="A9" s="23" t="inlineStr">
        <is>
          <t>• VLOOKUP is the most used lookup function (though INDEX/MATCH is more powerful).
• Syntax: VLOOKUP(lookup_value, table_array, col_index_num, [range_lookup])
• Column indexing: Column A=1, B=2, C=3, D=4. Count from left!
• Always use IFERROR to handle #N/A errors when lookup value not found.
• Real scenario: Employee lookups, product information, customer details, price tables.</t>
        </is>
      </c>
    </row>
    <row r="11">
      <c r="A11" s="18" t="inlineStr">
        <is>
          <t>SOLUTION 2: VLOOKUP Different Columns</t>
        </is>
      </c>
    </row>
    <row r="12">
      <c r="A12" s="19" t="inlineStr">
        <is>
          <t>Formula:</t>
        </is>
      </c>
      <c r="B12" s="20" t="inlineStr">
        <is>
          <t>Price: =IFERROR(VLOOKUP(A, $A$..., 3, 0), "Not Found")
Stock: =IFERROR(VLOOKUP(A, $A$..., 4, 0), "Not Found")</t>
        </is>
      </c>
    </row>
    <row r="13">
      <c r="A13" s="19" t="inlineStr">
        <is>
          <t>Result:</t>
        </is>
      </c>
      <c r="B13" s="21" t="inlineStr">
        <is>
          <t>Price: $299.99, Stock: 85</t>
        </is>
      </c>
    </row>
    <row r="14">
      <c r="A14" s="22" t="inlineStr">
        <is>
          <t>Explanation:</t>
        </is>
      </c>
    </row>
    <row r="15" ht="30" customHeight="1">
      <c r="A15" s="23" t="inlineStr">
        <is>
          <t>Same VLOOKUP, different column_index parameter (3 for Price, 4 for Stock). Reuse same table, just extract different columns. Demonstrates flexibility of column indexing.</t>
        </is>
      </c>
    </row>
    <row r="16">
      <c r="A16" s="22" t="inlineStr">
        <is>
          <t>Teacher's Comments:</t>
        </is>
      </c>
    </row>
    <row r="17" ht="50" customHeight="1">
      <c r="A17" s="23" t="inlineStr">
        <is>
          <t>• Column index number must be within the table range. =VLOOKUP(..., B1:C5, 3, 0) fails (only 2 columns).
• Different columns from same table: use same VLOOKUP structure, just change col_index.
• Pro tip: Create separate formulas for each data point to extract (Price, Stock, Description from same table).
• Real scenario: Product lookups (return price in one cell, stock in another), customer lookups (name, address, phone in separate cells).</t>
        </is>
      </c>
    </row>
    <row r="19">
      <c r="A19" s="18" t="inlineStr">
        <is>
          <t>SOLUTION 3: VLOOKUP Approximate Match</t>
        </is>
      </c>
    </row>
    <row r="20">
      <c r="A20" s="19" t="inlineStr">
        <is>
          <t>Formula:</t>
        </is>
      </c>
      <c r="B20" s="20">
        <f>IFERROR(VLOOKUP(75000, $A$..., 2, 1), "Error")</f>
        <v/>
      </c>
    </row>
    <row r="21">
      <c r="A21" s="19" t="inlineStr">
        <is>
          <t>Result:</t>
        </is>
      </c>
      <c r="B21" s="21" t="inlineStr">
        <is>
          <t>5% commission (between $50K and $100K)</t>
        </is>
      </c>
    </row>
    <row r="22">
      <c r="A22" s="22" t="inlineStr">
        <is>
          <t>Explanation:</t>
        </is>
      </c>
    </row>
    <row r="23" ht="30" customHeight="1">
      <c r="A23" s="23" t="inlineStr">
        <is>
          <t>1=TRUE (approximate match). VLOOKUP finds largest value ≤ lookup value (50000). Returns matching commission rate. Table MUST be sorted ascending for this to work correctly.</t>
        </is>
      </c>
    </row>
    <row r="24">
      <c r="A24" s="22" t="inlineStr">
        <is>
          <t>Teacher's Comments:</t>
        </is>
      </c>
    </row>
    <row r="25" ht="50" customHeight="1">
      <c r="A25" s="23" t="inlineStr">
        <is>
          <t>• Approximate match (1 or TRUE) requires data SORTED in ascending order. Unsorted data gives wrong results!
• Use case: Commission tiers, tax brackets, price bands, discount levels (all sorted, with thresholds).
• Find "greatest value less than or equal to": VLOOKUP($75K, $0, $50K, $100K, $200K, ..., TRUE) → $50K tier.
• Pro tip: Document in comments that data must remain sorted (to avoid errors if data gets rearranged).
• Real scenario: Salary bands, shipping rates (based on weight), loyalty tiers (based on spend).</t>
        </is>
      </c>
    </row>
    <row r="27">
      <c r="A27" s="18" t="inlineStr">
        <is>
          <t>SOLUTION 4: INDEX/MATCH Alternative</t>
        </is>
      </c>
    </row>
    <row r="28">
      <c r="A28" s="19" t="inlineStr">
        <is>
          <t>Formula:</t>
        </is>
      </c>
      <c r="B28" s="20">
        <f>IFERROR(INDEX($B$..., MATCH(1002, $A$..., 0)), "Not Found")</f>
        <v/>
      </c>
    </row>
    <row r="29">
      <c r="A29" s="19" t="inlineStr">
        <is>
          <t>Result:</t>
        </is>
      </c>
      <c r="B29" s="21" t="inlineStr">
        <is>
          <t>Sarah Johnson (from Employee ID 1002)</t>
        </is>
      </c>
    </row>
    <row r="30">
      <c r="A30" s="22" t="inlineStr">
        <is>
          <t>Explanation:</t>
        </is>
      </c>
    </row>
    <row r="31" ht="30" customHeight="1">
      <c r="A31" s="23" t="inlineStr">
        <is>
          <t>MATCH finds position of 1002 in column A (returns 2 for second row). INDEX returns value at position 2 from column B (Name). More flexible than VLOOKUP.</t>
        </is>
      </c>
    </row>
    <row r="32">
      <c r="A32" s="22" t="inlineStr">
        <is>
          <t>Teacher's Comments:</t>
        </is>
      </c>
    </row>
    <row r="33" ht="50" customHeight="1">
      <c r="A33" s="23" t="inlineStr">
        <is>
          <t>• INDEX/MATCH is more powerful: searches ANY column, returns from ANY column (not restricted left-to-right like VLOOKUP).
• MATCH(value, array, 0) = find position (0=exact match, 1=approximate, -1=reverse).
• INDEX(array, position) = return value at that position.
• Advantage: Can search right-to-left (return column LEFT of search column), VLOOKUP cannot.
• Real scenario: When lookup column is not first, when you need flexibility, when searching multiple criteria.</t>
        </is>
      </c>
    </row>
    <row r="35">
      <c r="A35" s="18" t="inlineStr">
        <is>
          <t>SOLUTION 5: 2D Lookup (Two-Way)</t>
        </is>
      </c>
    </row>
    <row r="36">
      <c r="A36" s="19" t="inlineStr">
        <is>
          <t>Formula:</t>
        </is>
      </c>
      <c r="B36" s="20">
        <f>INDEX($A$..., MATCH(product, $A$..., 0), MATCH(region, $A$..., 0))</f>
        <v/>
      </c>
    </row>
    <row r="37">
      <c r="A37" s="19" t="inlineStr">
        <is>
          <t>Result:</t>
        </is>
      </c>
      <c r="B37" s="21" t="inlineStr">
        <is>
          <t>$305 (Monitor price in East region)</t>
        </is>
      </c>
    </row>
    <row r="38">
      <c r="A38" s="22" t="inlineStr">
        <is>
          <t>Explanation:</t>
        </is>
      </c>
    </row>
    <row r="39" ht="30" customHeight="1">
      <c r="A39" s="23" t="inlineStr">
        <is>
          <t>Two nested MATCH functions: first finds row (product), second finds column (region). INDEX returns value at intersection. Powerful 2D lookup!</t>
        </is>
      </c>
    </row>
    <row r="40">
      <c r="A40" s="22" t="inlineStr">
        <is>
          <t>Teacher's Comments:</t>
        </is>
      </c>
    </row>
    <row r="41" ht="50" customHeight="1">
      <c r="A41" s="23" t="inlineStr">
        <is>
          <t>• Row MATCH finds product row, column MATCH finds region column, INDEX returns price at intersection.
• Example: Monitor in East = row 3, column 3 (East) → INDEX returns value at [row 3, col 3].
• Alternative: VLOOKUP+MATCH = =VLOOKUP(product, range, MATCH(region, header_row, 0), 0)
• Pro tip: Use named ranges for clarity: =INDEX(PriceTable, MATCH(Product, ProductList, 0), MATCH(Region, RegionList, 0))
• Real scenario: Rate tables (products × regions), matrix lookups (rows × columns), cross-reference tables.</t>
        </is>
      </c>
    </row>
    <row r="43">
      <c r="A43" s="18" t="inlineStr">
        <is>
          <t>SOLUTION 6: XLOOKUP (Modern)</t>
        </is>
      </c>
    </row>
    <row r="44">
      <c r="A44" s="19" t="inlineStr">
        <is>
          <t>Formula:</t>
        </is>
      </c>
      <c r="B44" s="20">
        <f>XLOOKUP(1005, $A$..., $D$..., "Not Found")</f>
        <v/>
      </c>
    </row>
    <row r="45">
      <c r="A45" s="19" t="inlineStr">
        <is>
          <t>Result:</t>
        </is>
      </c>
      <c r="B45" s="21" t="inlineStr">
        <is>
          <t>555-5678 (David Wilson's phone)</t>
        </is>
      </c>
    </row>
    <row r="46">
      <c r="A46" s="22" t="inlineStr">
        <is>
          <t>Explanation:</t>
        </is>
      </c>
    </row>
    <row r="47" ht="30" customHeight="1">
      <c r="A47" s="23" t="inlineStr">
        <is>
          <t>XLOOKUP is Excel 365+ replacement for VLOOKUP. Simpler: lookup_value, lookup_array, return_array, [if_not_found]. No column indexing needed!</t>
        </is>
      </c>
    </row>
    <row r="48">
      <c r="A48" s="22" t="inlineStr">
        <is>
          <t>Teacher's Comments:</t>
        </is>
      </c>
    </row>
    <row r="49" ht="50" customHeight="1">
      <c r="A49" s="23" t="inlineStr">
        <is>
          <t>• XLOOKUP syntax: =XLOOKUP(lookup_value, lookup_array, return_array, [if_not_found], [match_mode], [search_mode])
• Advantage over VLOOKUP: Directly specify return column (no column indexing). Built-in error handling.
• XLOOKUP also works right-to-left (like INDEX/MATCH), searches last-to-first with search_mode=−1.
• If not available: Check Excel version (Excel 365 / 2021+ required, not in 2019 or earlier).
• Real scenario: New projects should use XLOOKUP if available. For compatibility with older Excel, use VLOOKUP or INDEX/MATCH.</t>
        </is>
      </c>
    </row>
    <row r="51">
      <c r="A51" s="18" t="inlineStr">
        <is>
          <t>SOLUTION 7: Multiple Matches</t>
        </is>
      </c>
    </row>
    <row r="52">
      <c r="A52" s="19" t="inlineStr">
        <is>
          <t>Formula:</t>
        </is>
      </c>
      <c r="B52" s="20">
        <f>VLOOKUP(5001, $A$..., 2, 0)</f>
        <v/>
      </c>
    </row>
    <row r="53">
      <c r="A53" s="19" t="inlineStr">
        <is>
          <t>Result:</t>
        </is>
      </c>
      <c r="B53" s="21" t="inlineStr">
        <is>
          <t>ORD-001 (FIRST order only)</t>
        </is>
      </c>
    </row>
    <row r="54">
      <c r="A54" s="22" t="inlineStr">
        <is>
          <t>Explanation:</t>
        </is>
      </c>
    </row>
    <row r="55" ht="30" customHeight="1">
      <c r="A55" s="23" t="inlineStr">
        <is>
          <t>Customer 5001 appears 3 times (ORD-001, 002, 004). VLOOKUP returns first match only. For all matches, need different approach (FILTER, pivot, sumifs).</t>
        </is>
      </c>
    </row>
    <row r="56">
      <c r="A56" s="22" t="inlineStr">
        <is>
          <t>Teacher's Comments:</t>
        </is>
      </c>
    </row>
    <row r="57" ht="50" customHeight="1">
      <c r="A57" s="23" t="inlineStr">
        <is>
          <t>• VLOOKUP limitation: Returns only FIRST match. If table has duplicates, you get first occurrence.
• If you need ALL matches: Use FILTER(range, criteria) in Excel 365, or pivot table to aggregate.
• Workaround: Add helper column with COUNTIF to identify first occurrence, filter on that, then VLOOKUP.
• Real scenario: Customer orders (multiple per customer), transaction history, duplicate records.
• Pro tip: Document business rule: "Use VLOOKUP for first order, use SUMIF for total amount across all orders".</t>
        </is>
      </c>
    </row>
    <row r="59">
      <c r="A59" s="18" t="inlineStr">
        <is>
          <t>SOLUTION 8: Error Handling</t>
        </is>
      </c>
    </row>
    <row r="60">
      <c r="A60" s="19" t="inlineStr">
        <is>
          <t>Formula:</t>
        </is>
      </c>
      <c r="B60" s="20" t="inlineStr">
        <is>
          <t>IFERROR: =IFERROR(VLOOKUP(A, range, col, 0), "Not Available")
XLOOKUP: =XLOOKUP(A, range, col, "N/A")</t>
        </is>
      </c>
    </row>
    <row r="61">
      <c r="A61" s="19" t="inlineStr">
        <is>
          <t>Result:</t>
        </is>
      </c>
      <c r="B61" s="21" t="inlineStr">
        <is>
          <t>P999 → "Not Available" (not in list)</t>
        </is>
      </c>
    </row>
    <row r="62">
      <c r="A62" s="22" t="inlineStr">
        <is>
          <t>Explanation:</t>
        </is>
      </c>
    </row>
    <row r="63" ht="30" customHeight="1">
      <c r="A63" s="23" t="inlineStr">
        <is>
          <t>Both methods catch lookup errors. IFERROR wraps the VLOOKUP and catches #N/A. XLOOKUP has built-in [if_not_found] parameter. XLOOKUP cleaner.</t>
        </is>
      </c>
    </row>
    <row r="64">
      <c r="A64" s="22" t="inlineStr">
        <is>
          <t>Teacher's Comments:</t>
        </is>
      </c>
    </row>
    <row r="65" ht="50" customHeight="1">
      <c r="A65" s="23" t="inlineStr">
        <is>
          <t>• IFERROR catches ALL errors (#N/A, #REF!, #VALUE!, etc.). IFNA catches only #N/A.
• VLOOKUP returns #N/A when lookup value not found. IFERROR replaces with custom message.
• XLOOKUP: 4th parameter is [if_not_found] value. =XLOOKUP(lookup, range, return, "Not Available")
• Real scenario: Product lookups (item may not exist in catalog), customer lookups (account may be new), price tables (product may be discontinued).
• Pro tip: Show user-friendly error message ("Not Available") instead of technical #N/A error.</t>
        </is>
      </c>
    </row>
    <row r="67">
      <c r="A67" s="18" t="inlineStr">
        <is>
          <t>SOLUTION 9: Case-Sensitive Lookup</t>
        </is>
      </c>
    </row>
    <row r="68">
      <c r="A68" s="19" t="inlineStr">
        <is>
          <t>Formula:</t>
        </is>
      </c>
      <c r="B68" s="20">
        <f>INDEX($B$, MATCH(1, IF(EXACT($A$, A), ROW($A$)−ROW($A$)+1), 0))</f>
        <v/>
      </c>
    </row>
    <row r="69">
      <c r="A69" s="19" t="inlineStr">
        <is>
          <t>Result:</t>
        </is>
      </c>
      <c r="B69" s="21" t="inlineStr">
        <is>
          <t>"Uppercase" (finds ABC, not abc or Abc)</t>
        </is>
      </c>
    </row>
    <row r="70">
      <c r="A70" s="22" t="inlineStr">
        <is>
          <t>Explanation:</t>
        </is>
      </c>
    </row>
    <row r="71" ht="30" customHeight="1">
      <c r="A71" s="23" t="inlineStr">
        <is>
          <t>EXACT function compares with case-sensitivity. Wrapped in INDEX/MATCH with array formula logic. Returns match only if case matches exactly.</t>
        </is>
      </c>
    </row>
    <row r="72">
      <c r="A72" s="22" t="inlineStr">
        <is>
          <t>Teacher's Comments:</t>
        </is>
      </c>
    </row>
    <row r="73" ht="50" customHeight="1">
      <c r="A73" s="23" t="inlineStr">
        <is>
          <t>• By default, VLOOKUP and MATCH ignore case: "abc" = "ABC" = "Abc".
• For case-sensitive: Use EXACT with INDEX/MATCH (array formula, may need Ctrl+Shift+Enter).
• Excel 365: May use XLOOKUP with EXACT in conditional logic.
• Real scenario: Case-sensitive codes (promo codes, license keys), password lookups (rarely), coding standards where casing matters.
• Pro tip: Document if case sensitivity is required (most business data doesn't care about case).</t>
        </is>
      </c>
    </row>
    <row r="75">
      <c r="A75" s="18" t="inlineStr">
        <is>
          <t>SOLUTION 10: Multiple Criteria Lookup</t>
        </is>
      </c>
    </row>
    <row r="76">
      <c r="A76" s="19" t="inlineStr">
        <is>
          <t>Formula:</t>
        </is>
      </c>
      <c r="B76" s="20">
        <f>INDEX($C$, MATCH(1, ($A$=A)*($B$=B), 0))</f>
        <v/>
      </c>
    </row>
    <row r="77">
      <c r="A77" s="19" t="inlineStr">
        <is>
          <t>Result:</t>
        </is>
      </c>
      <c r="B77" s="21" t="inlineStr">
        <is>
          <t>$28 (Mouse + South combination)</t>
        </is>
      </c>
    </row>
    <row r="78">
      <c r="A78" s="22" t="inlineStr">
        <is>
          <t>Explanation:</t>
        </is>
      </c>
    </row>
    <row r="79" ht="30" customHeight="1">
      <c r="A79" s="23" t="inlineStr">
        <is>
          <t>Array formula combining multiple criteria: ($A$=Product)*($ B$=Region) creates array of 1s and 0s. MATCH finds first 1, INDEX returns matching price.</t>
        </is>
      </c>
    </row>
    <row r="80">
      <c r="A80" s="22" t="inlineStr">
        <is>
          <t>Teacher's Comments:</t>
        </is>
      </c>
    </row>
    <row r="81" ht="50" customHeight="1">
      <c r="A81" s="23" t="inlineStr">
        <is>
          <t>• Multiple criteria: Match must satisfy BOTH conditions (AND logic).
• Array formula: (* = AND, + = OR). May need Ctrl+Shift+Enter in older Excel.
• Excel 365: XLOOKUP with multiple criteria is simpler than INDEX/MATCH array.
• Alternative: SUMIFS (if summing), COUNTIFS (if counting), or multiple VLOOKUP+MATCH.
• Real scenario: Rate tables with two dimensions (product × region), pricing matrices (size × material), complex lookup rules.
• Pro tip: If multiple criteria, consider pivot table or XLOOKUP (if Excel 365) for clarity.</t>
        </is>
      </c>
    </row>
  </sheetData>
  <mergeCells count="31">
    <mergeCell ref="A9:H9"/>
    <mergeCell ref="A67:H67"/>
    <mergeCell ref="A39:H39"/>
    <mergeCell ref="A15:H15"/>
    <mergeCell ref="A59:H59"/>
    <mergeCell ref="A73:H73"/>
    <mergeCell ref="A51:H51"/>
    <mergeCell ref="A11:H11"/>
    <mergeCell ref="A49:H49"/>
    <mergeCell ref="A1:H1"/>
    <mergeCell ref="A79:H79"/>
    <mergeCell ref="A7:H7"/>
    <mergeCell ref="A25:H25"/>
    <mergeCell ref="A65:H65"/>
    <mergeCell ref="A41:H41"/>
    <mergeCell ref="A75:H75"/>
    <mergeCell ref="A27:H27"/>
    <mergeCell ref="A3:H3"/>
    <mergeCell ref="A55:H55"/>
    <mergeCell ref="A57:H57"/>
    <mergeCell ref="A71:H71"/>
    <mergeCell ref="A33:H33"/>
    <mergeCell ref="A47:H47"/>
    <mergeCell ref="A23:H23"/>
    <mergeCell ref="A17:H17"/>
    <mergeCell ref="A35:H35"/>
    <mergeCell ref="A43:H43"/>
    <mergeCell ref="A81:H81"/>
    <mergeCell ref="A63:H63"/>
    <mergeCell ref="A19:H1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2025-12-07T08:22:47Z</dcterms:created>
  <dcterms:modified xmlns:dcterms="http://purl.org/dc/terms/" xmlns:xsi="http://www.w3.org/2001/XMLSchema-instance" xsi:type="dcterms:W3CDTF">2025-12-07T08:24:13Z</dcterms:modified>
</cp:coreProperties>
</file>