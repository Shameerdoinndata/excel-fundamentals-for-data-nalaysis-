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mm/dd/yyyy hh:mm:ss"/>
    <numFmt numFmtId="166" formatCode="yyyy-mm-dd h:mm:ss"/>
  </numFmts>
  <fonts count="14">
    <font>
      <name val="Calibri"/>
      <family val="2"/>
      <color theme="1"/>
      <sz val="11"/>
      <scheme val="minor"/>
    </font>
    <font>
      <name val="Calibri"/>
      <b val="1"/>
      <color rgb="006F42C1"/>
      <sz val="14"/>
    </font>
    <font>
      <name val="Calibri"/>
      <i val="1"/>
      <color rgb="00666666"/>
      <sz val="11"/>
    </font>
    <font>
      <name val="Calibri"/>
      <b val="1"/>
      <color rgb="006F42C1"/>
      <sz val="11"/>
    </font>
    <font>
      <name val="Calibri"/>
      <sz val="10"/>
    </font>
    <font>
      <name val="Calibri"/>
      <b val="1"/>
      <color rgb="00FFFFFF"/>
      <sz val="10"/>
    </font>
    <font>
      <name val="Calibri"/>
      <i val="1"/>
      <sz val="10"/>
    </font>
    <font>
      <b val="1"/>
    </font>
    <font>
      <i val="1"/>
      <color rgb="000070C0"/>
      <sz val="9"/>
    </font>
    <font>
      <name val="Calibri"/>
      <b val="1"/>
      <color rgb="00FFFFFF"/>
      <sz val="12"/>
    </font>
    <font>
      <name val="Courier New"/>
      <color rgb="00C00000"/>
      <sz val="11"/>
    </font>
    <font>
      <b val="1"/>
      <color rgb="006F42C1"/>
    </font>
    <font>
      <i val="1"/>
      <color rgb="000070C0"/>
    </font>
    <font>
      <name val="Courier New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E7DDF4"/>
        <bgColor rgb="00E7DDF4"/>
      </patternFill>
    </fill>
    <fill>
      <patternFill patternType="solid">
        <fgColor rgb="006F42C1"/>
        <bgColor rgb="006F42C1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3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4" borderId="0" pivotButton="0" quotePrefix="0" xfId="0"/>
    <xf numFmtId="0" fontId="3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0" fontId="8" fillId="0" borderId="0" pivotButton="0" quotePrefix="0" xfId="0"/>
    <xf numFmtId="0" fontId="9" fillId="3" borderId="1" pivotButton="0" quotePrefix="0" xfId="0"/>
    <xf numFmtId="0" fontId="0" fillId="0" borderId="1" pivotButton="0" quotePrefix="0" xfId="0"/>
    <xf numFmtId="0" fontId="9" fillId="3" borderId="1" applyAlignment="1" pivotButton="0" quotePrefix="0" xfId="0">
      <alignment wrapText="1"/>
    </xf>
    <xf numFmtId="0" fontId="3" fillId="6" borderId="0" pivotButton="0" quotePrefix="0" xfId="0"/>
    <xf numFmtId="0" fontId="10" fillId="7" borderId="0" pivotButton="0" quotePrefix="0" xfId="0"/>
    <xf numFmtId="0" fontId="0" fillId="8" borderId="0" pivotButton="0" quotePrefix="0" xfId="0"/>
    <xf numFmtId="0" fontId="1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9" fillId="3" borderId="0" pivotButton="0" quotePrefix="0" xfId="0"/>
    <xf numFmtId="0" fontId="13" fillId="7" borderId="0" pivotButton="0" quotePrefix="0" xfId="0"/>
    <xf numFmtId="0" fontId="9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DATE &amp; TIME FUNCTIONS FOR BUSINESS ANALYTICS</t>
        </is>
      </c>
    </row>
    <row r="2">
      <c r="A2" s="2" t="inlineStr">
        <is>
          <t>Master Date Calculations: Durations, Ages, Project Timelines, and Deadlines</t>
        </is>
      </c>
    </row>
    <row r="4">
      <c r="A4" s="3" t="inlineStr">
        <is>
          <t>LEARNING OBJECTIVES</t>
        </is>
      </c>
    </row>
    <row r="5">
      <c r="A5" s="4" t="inlineStr">
        <is>
          <t>✓ Understand Excel's date system (serial numbers 1-5 = Jan 1-5, 1900)</t>
        </is>
      </c>
    </row>
    <row r="6">
      <c r="A6" s="4" t="inlineStr">
        <is>
          <t>✓ Use TODAY() and NOW() to get current date/time</t>
        </is>
      </c>
    </row>
    <row r="7">
      <c r="A7" s="4" t="inlineStr">
        <is>
          <t>✓ Create dates with DATE function</t>
        </is>
      </c>
    </row>
    <row r="8">
      <c r="A8" s="4" t="inlineStr">
        <is>
          <t>✓ Extract parts of dates (YEAR, MONTH, DAY, HOUR, MINUTE, SECOND)</t>
        </is>
      </c>
    </row>
    <row r="9">
      <c r="A9" s="4" t="inlineStr">
        <is>
          <t>✓ Calculate differences between dates (DATEDIF, subtraction)</t>
        </is>
      </c>
    </row>
    <row r="10">
      <c r="A10" s="4" t="inlineStr">
        <is>
          <t>✓ Add/subtract days from dates (date arithmetic)</t>
        </is>
      </c>
    </row>
    <row r="11">
      <c r="A11" s="4" t="inlineStr">
        <is>
          <t>✓ Calculate age, project duration, and deadline tracking</t>
        </is>
      </c>
    </row>
    <row r="12">
      <c r="A12" s="4" t="inlineStr">
        <is>
          <t>✓ Format dates professionally (different locales)</t>
        </is>
      </c>
    </row>
    <row r="14">
      <c r="A14" s="3" t="inlineStr">
        <is>
          <t>CORE DATE &amp; TIME FUNCTIONS OVERVIEW</t>
        </is>
      </c>
    </row>
    <row r="15">
      <c r="A15" s="5" t="inlineStr">
        <is>
          <t>Function</t>
        </is>
      </c>
      <c r="B15" s="5" t="inlineStr">
        <is>
          <t>Syntax</t>
        </is>
      </c>
      <c r="C15" s="5" t="inlineStr">
        <is>
          <t>Purpose</t>
        </is>
      </c>
      <c r="D15" s="5" t="inlineStr">
        <is>
          <t>Example Output</t>
        </is>
      </c>
    </row>
    <row r="16">
      <c r="A16" s="5" t="inlineStr">
        <is>
          <t>TODAY</t>
        </is>
      </c>
      <c r="B16" s="5">
        <f>TODAY()</f>
        <v/>
      </c>
      <c r="C16" s="5" t="inlineStr">
        <is>
          <t>Returns today's date (no arguments)</t>
        </is>
      </c>
      <c r="D16" s="5" t="inlineStr">
        <is>
          <t>12/7/2025</t>
        </is>
      </c>
    </row>
    <row r="17">
      <c r="A17" s="5" t="inlineStr">
        <is>
          <t>NOW</t>
        </is>
      </c>
      <c r="B17" s="5">
        <f>NOW()</f>
        <v/>
      </c>
      <c r="C17" s="5" t="inlineStr">
        <is>
          <t>Returns current date and time</t>
        </is>
      </c>
      <c r="D17" s="5" t="inlineStr">
        <is>
          <t>12/7/2025 1:28 PM</t>
        </is>
      </c>
    </row>
    <row r="18">
      <c r="A18" s="5" t="inlineStr">
        <is>
          <t>DATE</t>
        </is>
      </c>
      <c r="B18" s="5">
        <f>DATE(2025, 12, 7)</f>
        <v/>
      </c>
      <c r="C18" s="5" t="inlineStr">
        <is>
          <t>Creates a date from year, month, day</t>
        </is>
      </c>
      <c r="D18" s="5" t="inlineStr">
        <is>
          <t>12/7/2025</t>
        </is>
      </c>
    </row>
    <row r="19">
      <c r="A19" s="5" t="inlineStr">
        <is>
          <t>YEAR</t>
        </is>
      </c>
      <c r="B19" s="5">
        <f>YEAR(A1)</f>
        <v/>
      </c>
      <c r="C19" s="5" t="inlineStr">
        <is>
          <t>Extracts year from date</t>
        </is>
      </c>
      <c r="D19" s="5" t="inlineStr">
        <is>
          <t>2025</t>
        </is>
      </c>
    </row>
    <row r="20">
      <c r="A20" s="5" t="inlineStr">
        <is>
          <t>MONTH</t>
        </is>
      </c>
      <c r="B20" s="5">
        <f>MONTH(A1)</f>
        <v/>
      </c>
      <c r="C20" s="5" t="inlineStr">
        <is>
          <t>Extracts month (1-12)</t>
        </is>
      </c>
      <c r="D20" s="5" t="inlineStr">
        <is>
          <t>12</t>
        </is>
      </c>
    </row>
    <row r="21">
      <c r="A21" s="5" t="inlineStr">
        <is>
          <t>DAY</t>
        </is>
      </c>
      <c r="B21" s="5">
        <f>DAY(A1)</f>
        <v/>
      </c>
      <c r="C21" s="5" t="inlineStr">
        <is>
          <t>Extracts day (1-31)</t>
        </is>
      </c>
      <c r="D21" s="5" t="inlineStr">
        <is>
          <t>7</t>
        </is>
      </c>
    </row>
    <row r="22">
      <c r="A22" s="5" t="inlineStr">
        <is>
          <t>DATEDIF</t>
        </is>
      </c>
      <c r="B22" s="5">
        <f>DATEDIF(A1, B1, "D")</f>
        <v/>
      </c>
      <c r="C22" s="5" t="inlineStr">
        <is>
          <t>Calculates days between dates</t>
        </is>
      </c>
      <c r="D22" s="5" t="inlineStr">
        <is>
          <t>365</t>
        </is>
      </c>
    </row>
    <row r="23">
      <c r="A23" s="5" t="inlineStr">
        <is>
          <t>EDATE</t>
        </is>
      </c>
      <c r="B23" s="5">
        <f>EDATE(A1, 6)</f>
        <v/>
      </c>
      <c r="C23" s="5" t="inlineStr">
        <is>
          <t>Add/subtract months</t>
        </is>
      </c>
      <c r="D23" s="5" t="inlineStr">
        <is>
          <t>6/7/2025</t>
        </is>
      </c>
    </row>
    <row r="24">
      <c r="A24" s="5" t="inlineStr">
        <is>
          <t>EOMONTH</t>
        </is>
      </c>
      <c r="B24" s="5">
        <f>EOMONTH(A1, 0)</f>
        <v/>
      </c>
      <c r="C24" s="5" t="inlineStr">
        <is>
          <t>End of month date</t>
        </is>
      </c>
      <c r="D24" s="5" t="inlineStr">
        <is>
          <t>12/31/2025</t>
        </is>
      </c>
    </row>
    <row r="25">
      <c r="A25" s="5" t="inlineStr">
        <is>
          <t>WEEKDAY</t>
        </is>
      </c>
      <c r="B25" s="5">
        <f>WEEKDAY(A1)</f>
        <v/>
      </c>
      <c r="C25" s="5" t="inlineStr">
        <is>
          <t>Returns day of week (1-7)</t>
        </is>
      </c>
      <c r="D25" s="5" t="inlineStr">
        <is>
          <t>1 (Sunday)</t>
        </is>
      </c>
    </row>
    <row r="26">
      <c r="A26" s="5" t="inlineStr">
        <is>
          <t>HOUR</t>
        </is>
      </c>
      <c r="B26" s="5">
        <f>HOUR(NOW())</f>
        <v/>
      </c>
      <c r="C26" s="5" t="inlineStr">
        <is>
          <t>Extracts hour from time</t>
        </is>
      </c>
      <c r="D26" s="5" t="inlineStr">
        <is>
          <t>13 (1 PM)</t>
        </is>
      </c>
    </row>
    <row r="27">
      <c r="A27" s="5" t="inlineStr">
        <is>
          <t>MINUTE</t>
        </is>
      </c>
      <c r="B27" s="5">
        <f>MINUTE(NOW())</f>
        <v/>
      </c>
      <c r="C27" s="5" t="inlineStr">
        <is>
          <t>Extracts minute</t>
        </is>
      </c>
      <c r="D27" s="5" t="inlineStr">
        <is>
          <t>28</t>
        </is>
      </c>
    </row>
    <row r="28">
      <c r="A28" s="5" t="inlineStr">
        <is>
          <t>SECOND</t>
        </is>
      </c>
      <c r="B28" s="5">
        <f>SECOND(NOW())</f>
        <v/>
      </c>
      <c r="C28" s="5" t="inlineStr">
        <is>
          <t>Extracts second</t>
        </is>
      </c>
      <c r="D28" s="5" t="inlineStr">
        <is>
          <t>0</t>
        </is>
      </c>
    </row>
    <row r="30">
      <c r="A30" s="3" t="inlineStr">
        <is>
          <t>KEY CONCEPTS FOR DATE &amp; TIME</t>
        </is>
      </c>
    </row>
    <row r="31">
      <c r="A31" s="6" t="inlineStr">
        <is>
          <t>EXCEL'S DATE SYSTEM</t>
        </is>
      </c>
    </row>
    <row r="32" ht="30" customHeight="1">
      <c r="A32" s="7" t="inlineStr">
        <is>
          <t>Excel stores dates as serial numbers. 1 = Jan 1, 1900; 2 = Jan 2, 1900; etc. TODAY() returns serial number, formatted as date. This is why date math works: =TODAY()+7 = next week.</t>
        </is>
      </c>
    </row>
    <row r="33">
      <c r="A33" s="6" t="inlineStr">
        <is>
          <t>DATEDIF UNITS</t>
        </is>
      </c>
    </row>
    <row r="34" ht="30" customHeight="1">
      <c r="A34" s="7" t="inlineStr">
        <is>
          <t>Use "D" for days, "M" for months, "Y" for years. DATEDIF(start, end, "D") = 365 days, ("M") = 12 months, ("Y") = 1 year. Different units give different results.</t>
        </is>
      </c>
    </row>
    <row r="35">
      <c r="A35" s="6" t="inlineStr">
        <is>
          <t>DATE FORMATTING</t>
        </is>
      </c>
    </row>
    <row r="36" ht="30" customHeight="1">
      <c r="A36" s="7" t="inlineStr">
        <is>
          <t>Numbers like 45,000 are unformatted dates. Format as date to show readable date. Same value, different display.</t>
        </is>
      </c>
    </row>
    <row r="37">
      <c r="A37" s="6" t="inlineStr">
        <is>
          <t>TIME IS DECIMAL</t>
        </is>
      </c>
    </row>
    <row r="38" ht="30" customHeight="1">
      <c r="A38" s="7" t="inlineStr">
        <is>
          <t>Excel stores time as decimal: 0.5 = 12 PM (noon), 0.25 = 6 AM, 0.75 = 6 PM. =NOW() returns date.decimal_time.</t>
        </is>
      </c>
    </row>
    <row r="40">
      <c r="A40" s="3" t="inlineStr">
        <is>
          <t>BEST PRACTICES FOR DATE FUNCTIONS</t>
        </is>
      </c>
    </row>
    <row r="41">
      <c r="A41" s="4" t="inlineStr">
        <is>
          <t>🔹 Always use DATE() for consistent date creation, not hardcoding dates as text ("12/7/2025" can cause issues)</t>
        </is>
      </c>
    </row>
    <row r="42">
      <c r="A42" s="4" t="inlineStr">
        <is>
          <t>🔹 Format date columns as 'Date' format to show dates properly. Numbers like 45,000 mean nothing to users.</t>
        </is>
      </c>
    </row>
    <row r="43">
      <c r="A43" s="4" t="inlineStr">
        <is>
          <t>🔹 Use DATEDIF for durations, simple subtraction (B1-A1) also works but DATEDIF is clearer intent</t>
        </is>
      </c>
    </row>
    <row r="44">
      <c r="A44" s="4" t="inlineStr">
        <is>
          <t>🔹 For age calculations, DATEDIF(birthdate, TODAY(), "Y") gives exact age at today's date</t>
        </is>
      </c>
    </row>
    <row r="45">
      <c r="A45" s="4" t="inlineStr">
        <is>
          <t>🔹 Always account for leap years with TODAY()-based calculations (Excel handles automatically)</t>
        </is>
      </c>
    </row>
    <row r="47">
      <c r="A47" s="8" t="inlineStr">
        <is>
          <t>COMMON MISTAKES TO AVOID</t>
        </is>
      </c>
    </row>
    <row r="48">
      <c r="A48" s="4" t="inlineStr">
        <is>
          <t>❌ Hardcoding dates as text ("12/7/2025") instead of DATE(2025, 12, 7) - breaks calculations</t>
        </is>
      </c>
    </row>
    <row r="49">
      <c r="A49" s="4" t="inlineStr">
        <is>
          <t>❌ Forgetting to format cells as Date - shows serial numbers (45,000) instead of readable dates</t>
        </is>
      </c>
    </row>
    <row r="50">
      <c r="A50" s="4" t="inlineStr">
        <is>
          <t>❌ Using wrong DATEDIF unit: "D" (days) vs "M" (months) vs "Y" (years) give different results</t>
        </is>
      </c>
    </row>
    <row r="51">
      <c r="A51" s="4" t="inlineStr">
        <is>
          <t>❌ DATEDIF(today, future) returns error - must be DATEDIF(earlier_date, later_date)</t>
        </is>
      </c>
    </row>
    <row r="52">
      <c r="A52" s="4" t="inlineStr">
        <is>
          <t>❌ Mixing text dates with TRUE dates - "12/7/2025" (text) ≠ DATE(2025,12,7) (date value)</t>
        </is>
      </c>
    </row>
  </sheetData>
  <mergeCells count="33">
    <mergeCell ref="A41:F41"/>
    <mergeCell ref="A37:F37"/>
    <mergeCell ref="A12:F12"/>
    <mergeCell ref="A50:F50"/>
    <mergeCell ref="A2:F2"/>
    <mergeCell ref="A33:F33"/>
    <mergeCell ref="A47:F47"/>
    <mergeCell ref="A42:F42"/>
    <mergeCell ref="A14:F14"/>
    <mergeCell ref="A5:F5"/>
    <mergeCell ref="A32:F32"/>
    <mergeCell ref="A8:F8"/>
    <mergeCell ref="A35:F35"/>
    <mergeCell ref="A4:F4"/>
    <mergeCell ref="A43:F43"/>
    <mergeCell ref="A38:F38"/>
    <mergeCell ref="A52:F52"/>
    <mergeCell ref="A10:F10"/>
    <mergeCell ref="A44:F44"/>
    <mergeCell ref="A9:F9"/>
    <mergeCell ref="A31:F31"/>
    <mergeCell ref="A34:F34"/>
    <mergeCell ref="A40:F40"/>
    <mergeCell ref="A48:F48"/>
    <mergeCell ref="A30:F30"/>
    <mergeCell ref="A11:F11"/>
    <mergeCell ref="A49:F49"/>
    <mergeCell ref="A51:F51"/>
    <mergeCell ref="A36:F36"/>
    <mergeCell ref="A1:F1"/>
    <mergeCell ref="A45:F45"/>
    <mergeCell ref="A6:F6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5" customHeight="1">
      <c r="A1" s="1" t="inlineStr">
        <is>
          <t>10 REAL-WORLD DATE &amp; TIME PRACTICE EXERCISES</t>
        </is>
      </c>
    </row>
    <row r="3">
      <c r="A3" s="9" t="inlineStr">
        <is>
          <t>EXERCISE 1: Get Current Date (TODAY Function)</t>
        </is>
      </c>
    </row>
    <row r="4">
      <c r="A4" s="10" t="inlineStr">
        <is>
          <t>Task: Insert today's date in cell B{row+1}. Use TODAY() to always show the current date.</t>
        </is>
      </c>
    </row>
    <row r="6">
      <c r="A6" s="11" t="inlineStr">
        <is>
          <t>Today's Date:</t>
        </is>
      </c>
      <c r="B6" s="12">
        <f>TODAY()</f>
        <v/>
      </c>
    </row>
    <row r="8">
      <c r="A8" s="11" t="inlineStr">
        <is>
          <t>Today's Date &amp; Time:</t>
        </is>
      </c>
      <c r="B8" s="13">
        <f>NOW()</f>
        <v/>
      </c>
    </row>
    <row r="10">
      <c r="A10" s="14" t="inlineStr">
        <is>
          <t>💡 HINT: TODAY() updates automatically every day. NOW() includes time (updates every second in live spreadsheets).</t>
        </is>
      </c>
    </row>
    <row r="12">
      <c r="A12" s="9" t="inlineStr">
        <is>
          <t>EXERCISE 2: Extract Date Components (YEAR, MONTH, DAY)</t>
        </is>
      </c>
    </row>
    <row r="13">
      <c r="A13" s="10" t="inlineStr">
        <is>
          <t>Task: Break down dates into year, month, and day components.</t>
        </is>
      </c>
    </row>
    <row r="15">
      <c r="A15" s="15" t="inlineStr">
        <is>
          <t>Date</t>
        </is>
      </c>
      <c r="B15" s="15" t="inlineStr">
        <is>
          <t>Year</t>
        </is>
      </c>
      <c r="C15" s="15" t="inlineStr">
        <is>
          <t>Month</t>
        </is>
      </c>
      <c r="D15" s="15" t="inlineStr">
        <is>
          <t>Day</t>
        </is>
      </c>
    </row>
    <row r="16">
      <c r="A16" s="12" t="n">
        <v>45366</v>
      </c>
      <c r="B16" s="16">
        <f>YEAR(A16)</f>
        <v/>
      </c>
      <c r="C16" s="16">
        <f>MONTH(A16)</f>
        <v/>
      </c>
      <c r="D16" s="16">
        <f>DAY(A16)</f>
        <v/>
      </c>
    </row>
    <row r="17">
      <c r="A17" s="12" t="n">
        <v>46016</v>
      </c>
      <c r="B17" s="16">
        <f>YEAR(A17)</f>
        <v/>
      </c>
      <c r="C17" s="16">
        <f>MONTH(A17)</f>
        <v/>
      </c>
      <c r="D17" s="16">
        <f>DAY(A17)</f>
        <v/>
      </c>
    </row>
    <row r="18">
      <c r="A18" s="12" t="n">
        <v>45111</v>
      </c>
      <c r="B18" s="16">
        <f>YEAR(A18)</f>
        <v/>
      </c>
      <c r="C18" s="16">
        <f>MONTH(A18)</f>
        <v/>
      </c>
      <c r="D18" s="16">
        <f>DAY(A18)</f>
        <v/>
      </c>
    </row>
    <row r="19">
      <c r="A19" s="12" t="n">
        <v>46023</v>
      </c>
      <c r="B19" s="16">
        <f>YEAR(A19)</f>
        <v/>
      </c>
      <c r="C19" s="16">
        <f>MONTH(A19)</f>
        <v/>
      </c>
      <c r="D19" s="16">
        <f>DAY(A19)</f>
        <v/>
      </c>
    </row>
    <row r="21">
      <c r="A21" s="14" t="inlineStr">
        <is>
          <t>💡 HINT: YEAR returns 4-digit year, MONTH returns 1-12 (not name), DAY returns 1-31.</t>
        </is>
      </c>
    </row>
    <row r="23">
      <c r="A23" s="9" t="inlineStr">
        <is>
          <t>EXERCISE 3: Calculate Age (DATEDIF)</t>
        </is>
      </c>
    </row>
    <row r="24">
      <c r="A24" s="10" t="inlineStr">
        <is>
          <t>Task: Calculate how many years old each person is from their birth date.</t>
        </is>
      </c>
    </row>
    <row r="26">
      <c r="A26" s="15" t="inlineStr">
        <is>
          <t>Name</t>
        </is>
      </c>
      <c r="B26" s="15" t="inlineStr">
        <is>
          <t>Birth Date</t>
        </is>
      </c>
      <c r="C26" s="15" t="inlineStr">
        <is>
          <t>Age (Years)</t>
        </is>
      </c>
    </row>
    <row r="27">
      <c r="A27" s="16" t="inlineStr">
        <is>
          <t>John Smith</t>
        </is>
      </c>
      <c r="B27" s="12" t="n">
        <v>33008</v>
      </c>
      <c r="C27" s="16">
        <f>DATEDIF(B27,TODAY(),"Y")</f>
        <v/>
      </c>
    </row>
    <row r="28">
      <c r="A28" s="16" t="inlineStr">
        <is>
          <t>Sarah Johnson</t>
        </is>
      </c>
      <c r="B28" s="12" t="n">
        <v>31373</v>
      </c>
      <c r="C28" s="16">
        <f>DATEDIF(B28,TODAY(),"Y")</f>
        <v/>
      </c>
    </row>
    <row r="29">
      <c r="A29" s="16" t="inlineStr">
        <is>
          <t>Michael Chen</t>
        </is>
      </c>
      <c r="B29" s="12" t="n">
        <v>34766</v>
      </c>
      <c r="C29" s="16">
        <f>DATEDIF(B29,TODAY(),"Y")</f>
        <v/>
      </c>
    </row>
    <row r="30">
      <c r="A30" s="16" t="inlineStr">
        <is>
          <t>Emma Davis</t>
        </is>
      </c>
      <c r="B30" s="12" t="n">
        <v>33799</v>
      </c>
      <c r="C30" s="16">
        <f>DATEDIF(B30,TODAY(),"Y")</f>
        <v/>
      </c>
    </row>
    <row r="32">
      <c r="A32" s="14" t="inlineStr">
        <is>
          <t>💡 HINT: DATEDIF(start_date, end_date, "Y") calculates complete years. Use "M" for months, "D" for days.</t>
        </is>
      </c>
    </row>
    <row r="34">
      <c r="A34" s="9" t="inlineStr">
        <is>
          <t>EXERCISE 4: Calculate Days Between Dates (DATEDIF, Subtraction)</t>
        </is>
      </c>
    </row>
    <row r="35">
      <c r="A35" s="10" t="inlineStr">
        <is>
          <t>Task: Calculate project duration in days using DATEDIF and simple subtraction.</t>
        </is>
      </c>
    </row>
    <row r="37">
      <c r="A37" s="17" t="inlineStr">
        <is>
          <t>Project</t>
        </is>
      </c>
      <c r="B37" s="17" t="inlineStr">
        <is>
          <t>Start Date</t>
        </is>
      </c>
      <c r="C37" s="17" t="inlineStr">
        <is>
          <t>End Date</t>
        </is>
      </c>
      <c r="D37" s="17" t="inlineStr">
        <is>
          <t>Days (DATEDIF)</t>
        </is>
      </c>
      <c r="E37" s="17" t="inlineStr">
        <is>
          <t>Days (Subtraction)</t>
        </is>
      </c>
    </row>
    <row r="38">
      <c r="A38" s="16" t="inlineStr">
        <is>
          <t>Website Redesign</t>
        </is>
      </c>
      <c r="B38" s="12" t="n">
        <v>45672</v>
      </c>
      <c r="C38" s="12" t="n">
        <v>45736</v>
      </c>
      <c r="D38" s="16">
        <f>DATEDIF(B38,C38,"D")</f>
        <v/>
      </c>
      <c r="E38" s="16">
        <f>C38-B38</f>
        <v/>
      </c>
    </row>
    <row r="39">
      <c r="A39" s="16" t="inlineStr">
        <is>
          <t>Mobile App</t>
        </is>
      </c>
      <c r="B39" s="12" t="n">
        <v>45444</v>
      </c>
      <c r="C39" s="12" t="n">
        <v>45687</v>
      </c>
      <c r="D39" s="16">
        <f>DATEDIF(B39,C39,"D")</f>
        <v/>
      </c>
      <c r="E39" s="16">
        <f>C39-B39</f>
        <v/>
      </c>
    </row>
    <row r="40">
      <c r="A40" s="16" t="inlineStr">
        <is>
          <t>Data Migration</t>
        </is>
      </c>
      <c r="B40" s="12" t="n">
        <v>45689</v>
      </c>
      <c r="C40" s="12" t="n">
        <v>45703</v>
      </c>
      <c r="D40" s="16">
        <f>DATEDIF(B40,C40,"D")</f>
        <v/>
      </c>
      <c r="E40" s="16">
        <f>C40-B40</f>
        <v/>
      </c>
    </row>
    <row r="42">
      <c r="A42" s="14" t="inlineStr">
        <is>
          <t>💡 HINT: Both formulas return same result. DATEDIF("D") is clearer intent, subtraction (C-B) is simpler.</t>
        </is>
      </c>
    </row>
    <row r="44">
      <c r="A44" s="9" t="inlineStr">
        <is>
          <t>EXERCISE 5: Create Date from Components (DATE Function)</t>
        </is>
      </c>
    </row>
    <row r="45">
      <c r="A45" s="10" t="inlineStr">
        <is>
          <t>Task: Create dates from separate year, month, day columns using DATE function.</t>
        </is>
      </c>
    </row>
    <row r="47">
      <c r="A47" s="15" t="inlineStr">
        <is>
          <t>Year</t>
        </is>
      </c>
      <c r="B47" s="15" t="inlineStr">
        <is>
          <t>Month</t>
        </is>
      </c>
      <c r="C47" s="15" t="inlineStr">
        <is>
          <t>Day</t>
        </is>
      </c>
      <c r="D47" s="15" t="inlineStr">
        <is>
          <t>Created Date</t>
        </is>
      </c>
    </row>
    <row r="48">
      <c r="A48" s="16" t="n">
        <v>2025</v>
      </c>
      <c r="B48" s="16" t="n">
        <v>12</v>
      </c>
      <c r="C48" s="16" t="n">
        <v>25</v>
      </c>
      <c r="D48" s="12">
        <f>DATE(A48,B48,C48)</f>
        <v/>
      </c>
    </row>
    <row r="49">
      <c r="A49" s="16" t="n">
        <v>2024</v>
      </c>
      <c r="B49" s="16" t="n">
        <v>7</v>
      </c>
      <c r="C49" s="16" t="n">
        <v>4</v>
      </c>
      <c r="D49" s="12">
        <f>DATE(A49,B49,C49)</f>
        <v/>
      </c>
    </row>
    <row r="50">
      <c r="A50" s="16" t="n">
        <v>2026</v>
      </c>
      <c r="B50" s="16" t="n">
        <v>1</v>
      </c>
      <c r="C50" s="16" t="n">
        <v>1</v>
      </c>
      <c r="D50" s="12">
        <f>DATE(A50,B50,C50)</f>
        <v/>
      </c>
    </row>
    <row r="51">
      <c r="A51" s="16" t="n">
        <v>2025</v>
      </c>
      <c r="B51" s="16" t="n">
        <v>2</v>
      </c>
      <c r="C51" s="16" t="n">
        <v>14</v>
      </c>
      <c r="D51" s="12">
        <f>DATE(A51,B51,C51)</f>
        <v/>
      </c>
    </row>
    <row r="53">
      <c r="A53" s="14" t="inlineStr">
        <is>
          <t>💡 HINT: DATE(year, month, day) creates a date value. Useful when importing year/month/day separately.</t>
        </is>
      </c>
    </row>
    <row r="55">
      <c r="A55" s="9" t="inlineStr">
        <is>
          <t>EXERCISE 6: Add Days to Dates (Date Arithmetic)</t>
        </is>
      </c>
    </row>
    <row r="56">
      <c r="A56" s="10" t="inlineStr">
        <is>
          <t>Task: Calculate delivery dates (add days to order dates). Use simple arithmetic.</t>
        </is>
      </c>
    </row>
    <row r="58">
      <c r="A58" s="15" t="inlineStr">
        <is>
          <t>Order Date</t>
        </is>
      </c>
      <c r="B58" s="15" t="inlineStr">
        <is>
          <t>Days to Ship</t>
        </is>
      </c>
      <c r="C58" s="15" t="inlineStr">
        <is>
          <t>Delivery Date</t>
        </is>
      </c>
    </row>
    <row r="59">
      <c r="A59" s="12" t="n">
        <v>45667</v>
      </c>
      <c r="B59" s="16" t="n">
        <v>3</v>
      </c>
      <c r="C59" s="12">
        <f>A59+B59</f>
        <v/>
      </c>
    </row>
    <row r="60">
      <c r="A60" s="12" t="n">
        <v>45672</v>
      </c>
      <c r="B60" s="16" t="n">
        <v>5</v>
      </c>
      <c r="C60" s="12">
        <f>A60+B60</f>
        <v/>
      </c>
    </row>
    <row r="61">
      <c r="A61" s="12" t="n">
        <v>45677</v>
      </c>
      <c r="B61" s="16" t="n">
        <v>2</v>
      </c>
      <c r="C61" s="12">
        <f>A61+B61</f>
        <v/>
      </c>
    </row>
    <row r="62">
      <c r="A62" s="12" t="n">
        <v>45689</v>
      </c>
      <c r="B62" s="16" t="n">
        <v>7</v>
      </c>
      <c r="C62" s="12">
        <f>A62+B62</f>
        <v/>
      </c>
    </row>
    <row r="64">
      <c r="A64" s="14" t="inlineStr">
        <is>
          <t>💡 HINT: Date + number = future date. =A{row}+5 adds 5 days. =A{row}-5 subtracts 5 days (for past dates).</t>
        </is>
      </c>
    </row>
    <row r="66">
      <c r="A66" s="9" t="inlineStr">
        <is>
          <t>EXERCISE 7: Add/Subtract Months (EDATE Function)</t>
        </is>
      </c>
    </row>
    <row r="67">
      <c r="A67" s="10" t="inlineStr">
        <is>
          <t>Task: Calculate subscription renewal dates (add months to start dates).</t>
        </is>
      </c>
    </row>
    <row r="69">
      <c r="A69" s="15" t="inlineStr">
        <is>
          <t>Customer</t>
        </is>
      </c>
      <c r="B69" s="15" t="inlineStr">
        <is>
          <t>Start Date</t>
        </is>
      </c>
      <c r="C69" s="15" t="inlineStr">
        <is>
          <t>Months</t>
        </is>
      </c>
      <c r="D69" s="15" t="inlineStr">
        <is>
          <t>Renewal Date</t>
        </is>
      </c>
    </row>
    <row r="70">
      <c r="A70" s="16" t="inlineStr">
        <is>
          <t>Company A</t>
        </is>
      </c>
      <c r="B70" s="12" t="n">
        <v>45306</v>
      </c>
      <c r="C70" s="16" t="n">
        <v>12</v>
      </c>
      <c r="D70" s="12">
        <f>EDATE(B70,C70)</f>
        <v/>
      </c>
    </row>
    <row r="71">
      <c r="A71" s="16" t="inlineStr">
        <is>
          <t>Company B</t>
        </is>
      </c>
      <c r="B71" s="12" t="n">
        <v>45352</v>
      </c>
      <c r="C71" s="16" t="n">
        <v>6</v>
      </c>
      <c r="D71" s="12">
        <f>EDATE(B71,C71)</f>
        <v/>
      </c>
    </row>
    <row r="72">
      <c r="A72" s="16" t="inlineStr">
        <is>
          <t>Company C</t>
        </is>
      </c>
      <c r="B72" s="12" t="n">
        <v>45658</v>
      </c>
      <c r="C72" s="16" t="n">
        <v>3</v>
      </c>
      <c r="D72" s="12">
        <f>EDATE(B72,C72)</f>
        <v/>
      </c>
    </row>
    <row r="73">
      <c r="A73" s="16" t="inlineStr">
        <is>
          <t>Company D</t>
        </is>
      </c>
      <c r="B73" s="12" t="n">
        <v>45458</v>
      </c>
      <c r="C73" s="16" t="n">
        <v>24</v>
      </c>
      <c r="D73" s="12">
        <f>EDATE(B73,C73)</f>
        <v/>
      </c>
    </row>
    <row r="75">
      <c r="A75" s="14" t="inlineStr">
        <is>
          <t>💡 HINT: EDATE(date, months) adds months. Use negative for subtraction. =EDATE(TODAY(),-3) = 3 months ago.</t>
        </is>
      </c>
    </row>
    <row r="77">
      <c r="A77" s="9" t="inlineStr">
        <is>
          <t>EXERCISE 8: End of Month Dates (EOMONTH Function)</t>
        </is>
      </c>
    </row>
    <row r="78">
      <c r="A78" s="10" t="inlineStr">
        <is>
          <t>Task: Calculate last day of each month (invoice due dates, payment schedules).</t>
        </is>
      </c>
    </row>
    <row r="80">
      <c r="A80" s="17" t="inlineStr">
        <is>
          <t>Invoice Date</t>
        </is>
      </c>
      <c r="B80" s="17" t="inlineStr">
        <is>
          <t>Last Day This Month</t>
        </is>
      </c>
      <c r="C80" s="17" t="inlineStr">
        <is>
          <t>Last Day Next Month</t>
        </is>
      </c>
    </row>
    <row r="81">
      <c r="A81" s="12" t="n">
        <v>45672</v>
      </c>
      <c r="B81" s="12">
        <f>EOMONTH(A81,0)</f>
        <v/>
      </c>
      <c r="C81" s="12">
        <f>EOMONTH(A81,1)</f>
        <v/>
      </c>
    </row>
    <row r="82">
      <c r="A82" s="12" t="n">
        <v>45708</v>
      </c>
      <c r="B82" s="12">
        <f>EOMONTH(A82,0)</f>
        <v/>
      </c>
      <c r="C82" s="12">
        <f>EOMONTH(A82,1)</f>
        <v/>
      </c>
    </row>
    <row r="83">
      <c r="A83" s="12" t="n">
        <v>45726</v>
      </c>
      <c r="B83" s="12">
        <f>EOMONTH(A83,0)</f>
        <v/>
      </c>
      <c r="C83" s="12">
        <f>EOMONTH(A83,1)</f>
        <v/>
      </c>
    </row>
    <row r="85">
      <c r="A85" s="14" t="inlineStr">
        <is>
          <t>💡 HINT: EOMONTH(date, 0) = last day of current month, EOMONTH(date, 1) = last day next month.</t>
        </is>
      </c>
    </row>
    <row r="87">
      <c r="A87" s="9" t="inlineStr">
        <is>
          <t>EXERCISE 9: Get Day of Week (WEEKDAY Function)</t>
        </is>
      </c>
    </row>
    <row r="88">
      <c r="A88" s="10" t="inlineStr">
        <is>
          <t>Task: Determine which day of the week each date falls on.</t>
        </is>
      </c>
    </row>
    <row r="90">
      <c r="A90" s="15" t="inlineStr">
        <is>
          <t>Date</t>
        </is>
      </c>
      <c r="B90" s="15" t="inlineStr">
        <is>
          <t>Day Number</t>
        </is>
      </c>
      <c r="C90" s="15" t="inlineStr">
        <is>
          <t>Day Name</t>
        </is>
      </c>
    </row>
    <row r="91">
      <c r="A91" s="12" t="n">
        <v>45658</v>
      </c>
      <c r="B91" s="16">
        <f>WEEKDAY(A91)</f>
        <v/>
      </c>
      <c r="C91" s="16" t="inlineStr">
        <is>
          <t>(1=Sun, 7=Sat)</t>
        </is>
      </c>
    </row>
    <row r="92">
      <c r="A92" s="12" t="n">
        <v>46016</v>
      </c>
      <c r="B92" s="16">
        <f>WEEKDAY(A92)</f>
        <v/>
      </c>
      <c r="C92" s="16" t="inlineStr">
        <is>
          <t>(1=Sun, 7=Sat)</t>
        </is>
      </c>
    </row>
    <row r="93">
      <c r="A93" s="12" t="n">
        <v>45842</v>
      </c>
      <c r="B93" s="16">
        <f>WEEKDAY(A93)</f>
        <v/>
      </c>
      <c r="C93" s="16" t="inlineStr">
        <is>
          <t>(1=Sun, 7=Sat)</t>
        </is>
      </c>
    </row>
    <row r="95">
      <c r="A95" s="14" t="inlineStr">
        <is>
          <t>💡 HINT: WEEKDAY returns 1-7 (1=Sunday, 7=Saturday). Use with TEXT for day names: =TEXT(A{row},"dddd").</t>
        </is>
      </c>
    </row>
    <row r="97">
      <c r="A97" s="9" t="inlineStr">
        <is>
          <t>EXERCISE 10: Calculate Working Days &amp; Project Timeline (NETWORKDAYS)</t>
        </is>
      </c>
    </row>
    <row r="98">
      <c r="A98" s="10" t="inlineStr">
        <is>
          <t>Task: Calculate working days for projects (excluding weekends). NETWORKDAYS function.</t>
        </is>
      </c>
    </row>
    <row r="100">
      <c r="A100" s="17" t="inlineStr">
        <is>
          <t>Project</t>
        </is>
      </c>
      <c r="B100" s="17" t="inlineStr">
        <is>
          <t>Start Date</t>
        </is>
      </c>
      <c r="C100" s="17" t="inlineStr">
        <is>
          <t>End Date</t>
        </is>
      </c>
      <c r="D100" s="17" t="inlineStr">
        <is>
          <t>Calendar Days</t>
        </is>
      </c>
      <c r="E100" s="17" t="inlineStr">
        <is>
          <t>Working Days</t>
        </is>
      </c>
    </row>
    <row r="101">
      <c r="A101" s="16" t="inlineStr">
        <is>
          <t>Development</t>
        </is>
      </c>
      <c r="B101" s="12" t="n">
        <v>45663</v>
      </c>
      <c r="C101" s="12" t="n">
        <v>45674</v>
      </c>
      <c r="D101" s="16">
        <f>C101-B101</f>
        <v/>
      </c>
      <c r="E101" s="16">
        <f>NETWORKDAYS(B101,C101)</f>
        <v/>
      </c>
    </row>
    <row r="102">
      <c r="A102" s="16" t="inlineStr">
        <is>
          <t>Testing</t>
        </is>
      </c>
      <c r="B102" s="12" t="n">
        <v>45677</v>
      </c>
      <c r="C102" s="12" t="n">
        <v>45695</v>
      </c>
      <c r="D102" s="16">
        <f>C102-B102</f>
        <v/>
      </c>
      <c r="E102" s="16">
        <f>NETWORKDAYS(B102,C102)</f>
        <v/>
      </c>
    </row>
    <row r="103">
      <c r="A103" s="16" t="inlineStr">
        <is>
          <t>Deployment</t>
        </is>
      </c>
      <c r="B103" s="12" t="n">
        <v>45698</v>
      </c>
      <c r="C103" s="12" t="n">
        <v>45702</v>
      </c>
      <c r="D103" s="16">
        <f>C103-B103</f>
        <v/>
      </c>
      <c r="E103" s="16">
        <f>NETWORKDAYS(B103,C103)</f>
        <v/>
      </c>
    </row>
    <row r="105">
      <c r="A105" s="14" t="inlineStr">
        <is>
          <t>💡 HINT: NETWORKDAYS counts Monday-Friday only (excludes weekends). More realistic for project planning than total calendar days.</t>
        </is>
      </c>
    </row>
  </sheetData>
  <mergeCells count="31">
    <mergeCell ref="A67:H67"/>
    <mergeCell ref="A77:H77"/>
    <mergeCell ref="A24:H24"/>
    <mergeCell ref="A64:H64"/>
    <mergeCell ref="A98:H98"/>
    <mergeCell ref="A45:H45"/>
    <mergeCell ref="A1:H1"/>
    <mergeCell ref="A88:H88"/>
    <mergeCell ref="A78:H78"/>
    <mergeCell ref="A87:H87"/>
    <mergeCell ref="A66:H66"/>
    <mergeCell ref="A75:H75"/>
    <mergeCell ref="A12:H12"/>
    <mergeCell ref="A56:H56"/>
    <mergeCell ref="A3:H3"/>
    <mergeCell ref="A21:H21"/>
    <mergeCell ref="A105:H105"/>
    <mergeCell ref="A55:H55"/>
    <mergeCell ref="A95:H95"/>
    <mergeCell ref="A85:H85"/>
    <mergeCell ref="A42:H42"/>
    <mergeCell ref="A23:H23"/>
    <mergeCell ref="A32:H32"/>
    <mergeCell ref="A97:H97"/>
    <mergeCell ref="A4:H4"/>
    <mergeCell ref="A53:H53"/>
    <mergeCell ref="A35:H35"/>
    <mergeCell ref="A10:H10"/>
    <mergeCell ref="A13:H13"/>
    <mergeCell ref="A44:H44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5" customHeight="1">
      <c r="A1" s="1" t="inlineStr">
        <is>
          <t>COMPLETE SOLUTIONS &amp; EXPLANATIONS</t>
        </is>
      </c>
    </row>
    <row r="3">
      <c r="A3" s="18" t="inlineStr">
        <is>
          <t>SOLUTION 1: Get Current Date (TODAY, NOW Functions)</t>
        </is>
      </c>
    </row>
    <row r="4">
      <c r="A4" s="11" t="inlineStr">
        <is>
          <t>Formula (TODAY - date only):</t>
        </is>
      </c>
      <c r="B4" s="19">
        <f>TODAY()</f>
        <v/>
      </c>
    </row>
    <row r="5">
      <c r="A5" s="11" t="inlineStr">
        <is>
          <t>Formula (NOW - date and time):</t>
        </is>
      </c>
      <c r="B5" s="19">
        <f>NOW()</f>
        <v/>
      </c>
    </row>
    <row r="6">
      <c r="A6" s="11" t="inlineStr">
        <is>
          <t>Results:</t>
        </is>
      </c>
      <c r="B6" s="20" t="inlineStr">
        <is>
          <t>12/07/2025</t>
        </is>
      </c>
    </row>
    <row r="7">
      <c r="A7" s="21" t="inlineStr">
        <is>
          <t>Explanation:</t>
        </is>
      </c>
    </row>
    <row r="8" ht="30" customHeight="1">
      <c r="A8" s="22" t="inlineStr">
        <is>
          <t>TODAY() and NOW() take NO parameters (no arguments needed). TODAY() returns just the date; NOW() returns date + current time. Both update automatically when workbook recalculates (TODAY refreshes at midnight, NOW updates constantly in background).</t>
        </is>
      </c>
    </row>
    <row r="9">
      <c r="A9" s="21" t="inlineStr">
        <is>
          <t>Teacher's Comments:</t>
        </is>
      </c>
    </row>
    <row r="10" ht="50" customHeight="1">
      <c r="A10" s="22" t="inlineStr">
        <is>
          <t>• TODAY() and NOW() are volatile functions (recalculate constantly). Every time Excel recalculates, values update.
• Common use: Track age (=TODAY()-birthdate), days remaining (deadline-TODAY()), time since event.
• Note: TODAY() updates daily, even if you don't edit spreadsheet. Saved TODAY() value ≠ same as yesterday.
• Pro tip: For static date (don't want to change), use Ctrl+Shift+; (semicolon) to insert TODAY's date as value, not formula.
• Time format: 0.5 = 12 PM (noon), 0.25 = 6 AM, 0.75 = 6 PM (time is decimal fraction of day).</t>
        </is>
      </c>
    </row>
    <row r="12">
      <c r="A12" s="18" t="inlineStr">
        <is>
          <t>SOLUTION 2: Extract Date Components (YEAR, MONTH, DAY)</t>
        </is>
      </c>
    </row>
    <row r="13">
      <c r="A13" s="11" t="inlineStr">
        <is>
          <t>Formulas:</t>
        </is>
      </c>
    </row>
    <row r="14">
      <c r="A14">
        <f>YEAR(A1)</f>
        <v/>
      </c>
      <c r="B14" s="23" t="inlineStr">
        <is>
          <t>→ 2025</t>
        </is>
      </c>
    </row>
    <row r="15">
      <c r="A15">
        <f>MONTH(A1)</f>
        <v/>
      </c>
      <c r="B15" s="23" t="inlineStr">
        <is>
          <t>→ 12</t>
        </is>
      </c>
    </row>
    <row r="16">
      <c r="A16">
        <f>DAY(A1)</f>
        <v/>
      </c>
      <c r="B16" s="23" t="inlineStr">
        <is>
          <t>→ 7</t>
        </is>
      </c>
    </row>
    <row r="18">
      <c r="A18" s="11" t="inlineStr">
        <is>
          <t>Example:</t>
        </is>
      </c>
    </row>
    <row r="19">
      <c r="A19" s="24" t="inlineStr">
        <is>
          <t>Date</t>
        </is>
      </c>
      <c r="B19" s="24" t="inlineStr">
        <is>
          <t>Year</t>
        </is>
      </c>
      <c r="C19" s="24" t="inlineStr">
        <is>
          <t>Month</t>
        </is>
      </c>
      <c r="D19" s="24" t="inlineStr">
        <is>
          <t>Day</t>
        </is>
      </c>
    </row>
    <row r="20">
      <c r="A20" s="20" t="inlineStr">
        <is>
          <t>3/15/2024</t>
        </is>
      </c>
      <c r="B20" s="20" t="inlineStr">
        <is>
          <t>2024</t>
        </is>
      </c>
      <c r="C20" s="20" t="inlineStr">
        <is>
          <t>3</t>
        </is>
      </c>
      <c r="D20" s="20" t="inlineStr">
        <is>
          <t>15</t>
        </is>
      </c>
    </row>
    <row r="21">
      <c r="A21" s="21" t="inlineStr">
        <is>
          <t>Explanation:</t>
        </is>
      </c>
    </row>
    <row r="22" ht="30" customHeight="1">
      <c r="A22" s="22" t="inlineStr">
        <is>
          <t>YEAR extracts 4-digit year, MONTH extracts 1-12 (NOT month name), DAY extracts 1-31. Useful for grouping data by time period or filtering by specific month/day.</t>
        </is>
      </c>
    </row>
    <row r="23">
      <c r="A23" s="21" t="inlineStr">
        <is>
          <t>Teacher's Comments:</t>
        </is>
      </c>
    </row>
    <row r="24" ht="50" customHeight="1">
      <c r="A24" s="22" t="inlineStr">
        <is>
          <t>• MONTH returns number 1-12, not text name. Use TEXT function for month name: =TEXT(A1, "mmmm") → 'March'.
• Real scenario: Pivot by year/month (YEAR in rows, MONTH in columns) to analyze trends over time.
• Combine: =YEAR(A1)&amp;"-"&amp;MONTH(A1) creates fiscal period "2024-03" for reporting.
• Data grouping: Extract MONTH to identify seasonal patterns (retail sales highest in Dec, Jan).
• Budget forecasting: MONTH(date)=12 to flag December transactions separately (year-end adjustments).</t>
        </is>
      </c>
    </row>
    <row r="26">
      <c r="A26" s="18" t="inlineStr">
        <is>
          <t>SOLUTION 3: Calculate Age (DATEDIF)</t>
        </is>
      </c>
    </row>
    <row r="27">
      <c r="A27" s="11" t="inlineStr">
        <is>
          <t>Formula:</t>
        </is>
      </c>
      <c r="B27" s="19">
        <f>DATEDIF(B1, TODAY(), "Y")</f>
        <v/>
      </c>
    </row>
    <row r="28">
      <c r="A28" s="11" t="inlineStr">
        <is>
          <t>Example:</t>
        </is>
      </c>
    </row>
    <row r="29">
      <c r="A29" s="24" t="inlineStr">
        <is>
          <t>Name</t>
        </is>
      </c>
      <c r="B29" s="24" t="inlineStr">
        <is>
          <t>Birth Date</t>
        </is>
      </c>
      <c r="C29" s="24" t="inlineStr">
        <is>
          <t>Age</t>
        </is>
      </c>
    </row>
    <row r="30">
      <c r="A30" t="inlineStr">
        <is>
          <t>John Smith</t>
        </is>
      </c>
      <c r="B30" t="inlineStr">
        <is>
          <t>5/15/1990</t>
        </is>
      </c>
      <c r="C30" s="20" t="inlineStr">
        <is>
          <t>34</t>
        </is>
      </c>
    </row>
    <row r="31">
      <c r="A31" s="21" t="inlineStr">
        <is>
          <t>Explanation:</t>
        </is>
      </c>
    </row>
    <row r="32" ht="30" customHeight="1">
      <c r="A32" s="22" t="inlineStr">
        <is>
          <t>DATEDIF(start_date, end_date, unit) calculates the difference between dates. "Y" = complete years (34 years old, even if birthday hasn't occurred this year). This is exact age at TODAY's date.</t>
        </is>
      </c>
    </row>
    <row r="33">
      <c r="A33" s="21" t="inlineStr">
        <is>
          <t>Teacher's Comments:</t>
        </is>
      </c>
    </row>
    <row r="34" ht="50" customHeight="1">
      <c r="A34" s="22" t="inlineStr">
        <is>
          <t>• DATEDIF units: "Y" (years), "M" (months), "D" (days). Different units give different answers!
• Example: Born 5/15/1990, today 12/7/2025 → "Y"=34, "M"=413, "D"=12896 (same span, different units).
• ORDER MATTERS: DATEDIF(newer, older) returns error. Must be earlier date first: =DATEDIF(birthdate, TODAY(), "Y")
• Alternative: =YEAR(TODAY())-YEAR(birthdate) simpler but less accurate (ignores if birthday passed this year).
• Real scenario: HR system to flag employees reaching retirement age (65 years), verify age for compliance (insurance, service records).</t>
        </is>
      </c>
    </row>
    <row r="36">
      <c r="A36" s="18" t="inlineStr">
        <is>
          <t>SOLUTION 4: Calculate Days Between Dates</t>
        </is>
      </c>
    </row>
    <row r="37">
      <c r="A37" s="11" t="inlineStr">
        <is>
          <t>Formula (Method 1 - DATEDIF):</t>
        </is>
      </c>
      <c r="B37" s="25">
        <f>DATEDIF(A1, B1, "D")</f>
        <v/>
      </c>
    </row>
    <row r="38">
      <c r="A38" s="11" t="inlineStr">
        <is>
          <t>Formula (Method 2 - Simple Subtraction):</t>
        </is>
      </c>
      <c r="B38" s="25">
        <f>B1-A1</f>
        <v/>
      </c>
    </row>
    <row r="40">
      <c r="A40" s="11" t="inlineStr">
        <is>
          <t>Example:</t>
        </is>
      </c>
    </row>
    <row r="41">
      <c r="A41" s="24" t="inlineStr">
        <is>
          <t>Start Date</t>
        </is>
      </c>
      <c r="B41" s="24" t="inlineStr">
        <is>
          <t>End Date</t>
        </is>
      </c>
      <c r="C41" s="24" t="inlineStr">
        <is>
          <t>Days</t>
        </is>
      </c>
    </row>
    <row r="42">
      <c r="A42" t="inlineStr">
        <is>
          <t>1/15/2025</t>
        </is>
      </c>
      <c r="B42" t="inlineStr">
        <is>
          <t>3/20/2025</t>
        </is>
      </c>
      <c r="C42" s="20" t="inlineStr">
        <is>
          <t>64</t>
        </is>
      </c>
    </row>
    <row r="43">
      <c r="A43" s="21" t="inlineStr">
        <is>
          <t>Explanation:</t>
        </is>
      </c>
    </row>
    <row r="44" ht="30" customHeight="1">
      <c r="A44" s="22" t="inlineStr">
        <is>
          <t>Both formulas return same result (64 days). DATEDIF is clearer intent (duration), subtraction (B-A) is simpler. Excel's serial date system makes subtraction work: each date is a number, so subtracting gives days between.</t>
        </is>
      </c>
    </row>
    <row r="45">
      <c r="A45" s="21" t="inlineStr">
        <is>
          <t>Teacher's Comments:</t>
        </is>
      </c>
    </row>
    <row r="46" ht="50" customHeight="1">
      <c r="A46" s="22" t="inlineStr">
        <is>
          <t>• Project management KPI: Days elapsed = progress indicator. Days remaining = =deadline-TODAY() for urgency alerts.
• DATEDIF vs subtraction: DATEDIF treats dates semantically (duration concept), subtraction treats as math (serial numbers).
• Pro tip: Subtract TODAY() from deadline to automatically calculate days remaining. If negative, project is overdue!
• Business logic: =IF(D10-TODAY()&lt;0, "OVERDUE", "On Track") for traffic-light status.
• Real scenario: Gantt chart calculations, SLA tracking (response time SLAs), aging analysis (invoice aging, ticket aging).</t>
        </is>
      </c>
    </row>
    <row r="48">
      <c r="A48" s="18" t="inlineStr">
        <is>
          <t>SOLUTION 5: Create Date from Components (DATE Function)</t>
        </is>
      </c>
    </row>
    <row r="49">
      <c r="A49" s="11" t="inlineStr">
        <is>
          <t>Formula:</t>
        </is>
      </c>
      <c r="B49" s="19">
        <f>DATE(A1, B1, C1)</f>
        <v/>
      </c>
    </row>
    <row r="50">
      <c r="A50" s="11" t="inlineStr">
        <is>
          <t>Example:</t>
        </is>
      </c>
    </row>
    <row r="51">
      <c r="A51" s="24" t="inlineStr">
        <is>
          <t>Year</t>
        </is>
      </c>
      <c r="B51" s="24" t="inlineStr">
        <is>
          <t>Month</t>
        </is>
      </c>
      <c r="C51" s="24" t="inlineStr">
        <is>
          <t>Day</t>
        </is>
      </c>
      <c r="D51" s="24" t="inlineStr">
        <is>
          <t>Created Date</t>
        </is>
      </c>
    </row>
    <row r="52">
      <c r="A52" t="inlineStr">
        <is>
          <t>2025</t>
        </is>
      </c>
      <c r="B52" t="inlineStr">
        <is>
          <t>12</t>
        </is>
      </c>
      <c r="C52" t="inlineStr">
        <is>
          <t>25</t>
        </is>
      </c>
      <c r="D52" s="20" t="inlineStr">
        <is>
          <t>12/25/2025 (Christmas)</t>
        </is>
      </c>
    </row>
    <row r="53">
      <c r="A53" s="21" t="inlineStr">
        <is>
          <t>Explanation:</t>
        </is>
      </c>
    </row>
    <row r="54" ht="30" customHeight="1">
      <c r="A54" s="22" t="inlineStr">
        <is>
          <t>DATE(year, month, day) creates a proper date value from three separate numbers. Useful when importing data where year/month/day are in different columns. DATE validates inputs too (e.g., prevents invalid date like month 13).</t>
        </is>
      </c>
    </row>
    <row r="55">
      <c r="A55" s="21" t="inlineStr">
        <is>
          <t>Teacher's Comments:</t>
        </is>
      </c>
    </row>
    <row r="56" ht="50" customHeight="1">
      <c r="A56" s="22" t="inlineStr">
        <is>
          <t>• Common in data imports: Legacy system exports year/month/day as separate fields. DATE reconstructs proper date.
• Validation: DATE(2025, 2, 30) returns 3/2/2025 (February only has 28 days, Excel auto-corrects). Be aware of this!
• Alternative: Concatenate with hyphens: =A1&amp;"-"&amp;B1&amp;"-"&amp;C1 creates text "2025-12-25" but this is TEXT, not a date value.
• Pro tip: If year is 2-digit (e.g., 25 for 2025), DATE assumes 19xx (1925). Use DATE(2000+A1, ...) for 00-99 century handling.
• Real scenario: Import transaction data from CSV, reconstruct dates from components, use for analysis/filtering.</t>
        </is>
      </c>
    </row>
    <row r="58">
      <c r="A58" s="18" t="inlineStr">
        <is>
          <t>SOLUTION 6: Add Days to Dates (Date Arithmetic)</t>
        </is>
      </c>
    </row>
    <row r="59">
      <c r="A59" s="11" t="inlineStr">
        <is>
          <t>Formula (Add Days):</t>
        </is>
      </c>
      <c r="B59" s="19">
        <f>A1 + B1</f>
        <v/>
      </c>
    </row>
    <row r="60">
      <c r="A60" s="11" t="inlineStr">
        <is>
          <t>Formula (Subtract Days):</t>
        </is>
      </c>
      <c r="B60" s="19">
        <f>A1 - B1</f>
        <v/>
      </c>
    </row>
    <row r="62">
      <c r="A62" s="11" t="inlineStr">
        <is>
          <t>Example (Delivery):</t>
        </is>
      </c>
    </row>
    <row r="63">
      <c r="A63" s="24" t="inlineStr">
        <is>
          <t>Order Date</t>
        </is>
      </c>
      <c r="B63" s="24" t="inlineStr">
        <is>
          <t>Days to Ship</t>
        </is>
      </c>
      <c r="C63" s="24" t="inlineStr">
        <is>
          <t>Delivery Date</t>
        </is>
      </c>
    </row>
    <row r="64">
      <c r="A64" t="inlineStr">
        <is>
          <t>1/10/2025</t>
        </is>
      </c>
      <c r="B64" t="inlineStr">
        <is>
          <t>3</t>
        </is>
      </c>
      <c r="C64" s="20" t="inlineStr">
        <is>
          <t>1/13/2025</t>
        </is>
      </c>
    </row>
    <row r="65">
      <c r="A65" s="21" t="inlineStr">
        <is>
          <t>Explanation:</t>
        </is>
      </c>
    </row>
    <row r="66" ht="30" customHeight="1">
      <c r="A66" s="22" t="inlineStr">
        <is>
          <t>Excel's serial date system allows simple math: date + number = future date, date - number = past date. =1/10/2025 + 3 = 1/13/2025 (three days later). This is the power of Excel treating dates as serial numbers!</t>
        </is>
      </c>
    </row>
    <row r="67">
      <c r="A67" s="21" t="inlineStr">
        <is>
          <t>Teacher's Comments:</t>
        </is>
      </c>
    </row>
    <row r="68" ht="50" customHeight="1">
      <c r="A68" s="22" t="inlineStr">
        <is>
          <t>• Simple and powerful: Date arithmetic is intuitive. 1/10/2025 + 7 = 1/17/2025 (one week later).
• For months: Use EDATE(date, months) instead. Simple +30 approximates months but misses varying month lengths.
• For years: Use EDATE(date, 12*years) or DATE(YEAR(date)+1, MONTH(date), DAY(date)).
• Real scenario: Order tracking (order + ship days = delivery), warranty expiration (purchase + 12 months), contract renewal (start + 36 months).
• Pro tip: Create a helper column for expiration dates. =A1+365 is simple but DATE(YEAR(A1)+1, MONTH(A1), DAY(A1)) is more accurate (handles leap years).
• Alert logic: =IF(date_due - TODAY() &lt; 3, "URGENT", "OK") flags items due within 3 days.</t>
        </is>
      </c>
    </row>
    <row r="70">
      <c r="A70" s="18" t="inlineStr">
        <is>
          <t>SOLUTION 7: Add/Subtract Months (EDATE Function)</t>
        </is>
      </c>
    </row>
    <row r="71">
      <c r="A71" s="11" t="inlineStr">
        <is>
          <t>Formula:</t>
        </is>
      </c>
      <c r="B71" s="19">
        <f>EDATE(A1, B1)</f>
        <v/>
      </c>
    </row>
    <row r="72">
      <c r="A72" s="11" t="inlineStr">
        <is>
          <t>Example (Subscription Renewal):</t>
        </is>
      </c>
    </row>
    <row r="73">
      <c r="A73" s="24" t="inlineStr">
        <is>
          <t>Start Date</t>
        </is>
      </c>
      <c r="B73" s="24" t="inlineStr">
        <is>
          <t>Months</t>
        </is>
      </c>
      <c r="C73" s="24" t="inlineStr">
        <is>
          <t>Renewal Date</t>
        </is>
      </c>
    </row>
    <row r="74">
      <c r="A74" t="inlineStr">
        <is>
          <t>1/15/2024</t>
        </is>
      </c>
      <c r="B74" t="inlineStr">
        <is>
          <t>12</t>
        </is>
      </c>
      <c r="C74" s="20" t="inlineStr">
        <is>
          <t>1/15/2025</t>
        </is>
      </c>
    </row>
    <row r="75">
      <c r="A75" s="21" t="inlineStr">
        <is>
          <t>Explanation:</t>
        </is>
      </c>
    </row>
    <row r="76" ht="30" customHeight="1">
      <c r="A76" s="22" t="inlineStr">
        <is>
          <t>EDATE(date, months) adds months intelligently. =EDATE(1/15/2024, 12) = 1/15/2025 (exactly one year). Uses -6 to subtract 6 months. Better than +30 (approximates) because it handles varying month lengths.</t>
        </is>
      </c>
    </row>
    <row r="77">
      <c r="A77" s="21" t="inlineStr">
        <is>
          <t>Teacher's Comments:</t>
        </is>
      </c>
    </row>
    <row r="78" ht="50" customHeight="1">
      <c r="A78" s="22" t="inlineStr">
        <is>
          <t>• EDATE handles month-end dates intelligently: EDATE(1/31/2025, 1) = 2/28/2025 (preserves last day of month concept).
• Negative months: EDATE(date, -3) goes back 3 months (useful for lookback periods: last quarter).
• Real scenario: Subscription renewal (SaaS billing), warranty expiration (add months to purchase), contract duration (add months to start date).
• Reporting: EDATE(TODAY(), -12) = one year ago (year-over-year comparison), EDATE(TODAY(), -3) = last quarter.
• Pro tip: Combine with NETWORKDAYS: =NETWORKDAYS(TODAY(), EDATE(TODAY(), 3)) = working days in next quarter.</t>
        </is>
      </c>
    </row>
    <row r="80">
      <c r="A80" s="18" t="inlineStr">
        <is>
          <t>SOLUTION 8: End of Month Dates (EOMONTH Function)</t>
        </is>
      </c>
    </row>
    <row r="81">
      <c r="A81" s="11" t="inlineStr">
        <is>
          <t>Formula:</t>
        </is>
      </c>
      <c r="B81" s="19">
        <f>EOMONTH(A1, offset)</f>
        <v/>
      </c>
    </row>
    <row r="83">
      <c r="A83" s="11" t="inlineStr">
        <is>
          <t>Examples:</t>
        </is>
      </c>
    </row>
    <row r="84">
      <c r="A84" s="24" t="inlineStr">
        <is>
          <t>Formula</t>
        </is>
      </c>
      <c r="B84" s="24" t="inlineStr">
        <is>
          <t>Result</t>
        </is>
      </c>
    </row>
    <row r="85">
      <c r="A85" s="20">
        <f>EOMONTH(TODAY(), 0)</f>
        <v/>
      </c>
      <c r="B85" s="20" t="inlineStr">
        <is>
          <t>Last day of this month</t>
        </is>
      </c>
    </row>
    <row r="86">
      <c r="A86" s="20">
        <f>EOMONTH(TODAY(), 1)</f>
        <v/>
      </c>
      <c r="B86" s="20" t="inlineStr">
        <is>
          <t>Last day of next month</t>
        </is>
      </c>
    </row>
    <row r="87">
      <c r="A87" s="20">
        <f>EOMONTH(TODAY(), -1)</f>
        <v/>
      </c>
      <c r="B87" s="20" t="inlineStr">
        <is>
          <t>Last day of last month</t>
        </is>
      </c>
    </row>
    <row r="89">
      <c r="A89" s="21" t="inlineStr">
        <is>
          <t>Explanation:</t>
        </is>
      </c>
    </row>
    <row r="90" ht="30" customHeight="1">
      <c r="A90" s="22" t="inlineStr">
        <is>
          <t>EOMONTH(date, months_offset) returns the last day of a month. Offset 0 = current month's last day, 1 = next month's last day, -1 = last month's last day. Perfect for month-end reporting, billing, and payment schedules.</t>
        </is>
      </c>
    </row>
    <row r="91">
      <c r="A91" s="21" t="inlineStr">
        <is>
          <t>Teacher's Comments:</t>
        </is>
      </c>
    </row>
    <row r="92" ht="50" customHeight="1">
      <c r="A92" s="22" t="inlineStr">
        <is>
          <t>• Financial reporting: Many reports due at month-end. =EOMONTH(TODAY(), 0) = deadline date.
• Invoice due dates: Standard 30-day terms = EOMONTH(invoice_date, 1) (pay end of next month).
• Accounting: Fiscal period end dates, accrual cutoffs, close-out schedules often use last day of month.
• Real scenario: Billing systems use EOMONTH to calculate monthly recurring charges, balance sheet cutoff dates.
• Pro tip: =IF(TODAY()=EOMONTH(TODAY(),0), "MONTH END CLOSE", "Regular day") triggers month-end close procedures.
• Leap year safe: EOMONTH automatically handles February 28 vs 29 (no manual adjustment needed).</t>
        </is>
      </c>
    </row>
    <row r="94">
      <c r="A94" s="18" t="inlineStr">
        <is>
          <t>SOLUTION 9: Get Day of Week (WEEKDAY Function)</t>
        </is>
      </c>
    </row>
    <row r="95">
      <c r="A95" s="11" t="inlineStr">
        <is>
          <t>Formula:</t>
        </is>
      </c>
      <c r="B95" s="19">
        <f>WEEKDAY(A1)</f>
        <v/>
      </c>
    </row>
    <row r="96">
      <c r="A96" s="11" t="inlineStr">
        <is>
          <t>Or for day name:</t>
        </is>
      </c>
      <c r="B96" s="19">
        <f>TEXT(A1, "dddd")</f>
        <v/>
      </c>
    </row>
    <row r="98">
      <c r="A98" s="11" t="inlineStr">
        <is>
          <t>Example (Special Holidays):</t>
        </is>
      </c>
    </row>
    <row r="99">
      <c r="A99" s="24" t="inlineStr">
        <is>
          <t>Date</t>
        </is>
      </c>
      <c r="B99" s="24" t="inlineStr">
        <is>
          <t>WEEKDAY</t>
        </is>
      </c>
      <c r="C99" s="24" t="inlineStr">
        <is>
          <t>Day Name</t>
        </is>
      </c>
    </row>
    <row r="100">
      <c r="A100" s="20" t="inlineStr">
        <is>
          <t>1/1/2025</t>
        </is>
      </c>
      <c r="B100" s="20" t="inlineStr">
        <is>
          <t>4</t>
        </is>
      </c>
      <c r="C100" s="20" t="inlineStr">
        <is>
          <t>Wednesday</t>
        </is>
      </c>
    </row>
    <row r="101">
      <c r="A101" s="21" t="inlineStr">
        <is>
          <t>Explanation:</t>
        </is>
      </c>
    </row>
    <row r="102" ht="30" customHeight="1">
      <c r="A102" s="22" t="inlineStr">
        <is>
          <t>WEEKDAY returns 1-7 (1=Sunday, 7=Saturday). Number is not intuitive for users. Use TEXT function to convert: =TEXT(date, "dddd") → Wednesday, =TEXT(date, "ddd") → Wed (abbreviated).</t>
        </is>
      </c>
    </row>
    <row r="103">
      <c r="A103" s="21" t="inlineStr">
        <is>
          <t>Teacher's Comments:</t>
        </is>
      </c>
    </row>
    <row r="104" ht="50" customHeight="1">
      <c r="A104" s="22" t="inlineStr">
        <is>
          <t>• Scheduling: WEEKDAY to identify weekends (6 or 7) for business rules (weekend delivery surcharge).
• WEEKDAY variants: Default 1-7, or use type parameter: WEEKDAY(date, 2) = 1-7 Monday-Sunday, WEEKDAY(date, 3) = 0-6 Monday-Sunday.
• Real scenario: Payroll (only weekdays count), delivery schedules (no Sunday delivery), business day calculations.
• Pro tip: =IF(OR(WEEKDAY(A1)=1, WEEKDAY(A1)=7), "Weekend", "Weekday") flags weekends.
• NETWORKDAYS: Better choice for counting working days (automatically excludes weekends + holidays).
• Reporting: =IF(WEEKDAY(TODAY())=1, "Alert: Sunday") triggers Sunday-specific reports/tasks.</t>
        </is>
      </c>
    </row>
    <row r="106">
      <c r="A106" s="18" t="inlineStr">
        <is>
          <t>SOLUTION 10: Calculate Working Days (NETWORKDAYS)</t>
        </is>
      </c>
    </row>
    <row r="107">
      <c r="A107" s="11" t="inlineStr">
        <is>
          <t>Formula:</t>
        </is>
      </c>
      <c r="B107" s="25">
        <f>NETWORKDAYS(start_date, end_date)</f>
        <v/>
      </c>
    </row>
    <row r="109">
      <c r="A109" s="11" t="inlineStr">
        <is>
          <t>Example (Project Timeline):</t>
        </is>
      </c>
    </row>
    <row r="110">
      <c r="A110" s="26" t="inlineStr">
        <is>
          <t>Project</t>
        </is>
      </c>
      <c r="B110" s="26" t="inlineStr">
        <is>
          <t>Start</t>
        </is>
      </c>
      <c r="C110" s="26" t="inlineStr">
        <is>
          <t>End</t>
        </is>
      </c>
      <c r="D110" s="26" t="inlineStr">
        <is>
          <t>Calendar Days</t>
        </is>
      </c>
      <c r="E110" s="26" t="inlineStr">
        <is>
          <t>Working Days</t>
        </is>
      </c>
    </row>
    <row r="111">
      <c r="A111" s="20" t="inlineStr">
        <is>
          <t>Development</t>
        </is>
      </c>
      <c r="B111" s="20" t="inlineStr">
        <is>
          <t>1/6/2025</t>
        </is>
      </c>
      <c r="C111" s="20" t="inlineStr">
        <is>
          <t>1/17/2025</t>
        </is>
      </c>
      <c r="D111" s="20" t="inlineStr">
        <is>
          <t>11</t>
        </is>
      </c>
      <c r="E111" s="20" t="inlineStr">
        <is>
          <t>8</t>
        </is>
      </c>
    </row>
    <row r="112">
      <c r="A112" s="21" t="inlineStr">
        <is>
          <t>Explanation:</t>
        </is>
      </c>
    </row>
    <row r="113" ht="30" customHeight="1">
      <c r="A113" s="22" t="inlineStr">
        <is>
          <t>NETWORKDAYS counts weekdays (Monday-Friday) excluding weekends. 1/6-1/17 = 11 calendar days but only 8 working days (excludes 2 weekend days: 1/11-1/12). More realistic for project planning than total calendar days.</t>
        </is>
      </c>
    </row>
    <row r="114">
      <c r="A114" s="21" t="inlineStr">
        <is>
          <t>Teacher's Comments:</t>
        </is>
      </c>
    </row>
    <row r="115" ht="50" customHeight="1">
      <c r="A115" s="22" t="inlineStr">
        <is>
          <t>• Project management standard: Always use NETWORKDAYS for duration estimates (teams don't work weekends).
• Optional holidays: =NETWORKDAYS(start, end, {holiday1, holiday2, ...}) excludes holiday list (e.g., Thanksgiving).
• Real scenario: Resource allocation (8 working days = 1 staff month), deadline tracking, capacity planning.
• Inverse: WORKDAY(start_date, num_days) = date after N working days. =WORKDAY(TODAY(), 10) = date 10 working days from now.
• Reporting: SLA response time often measured in working days. Support ticket created Monday 9 AM, 1 working day SLA = respond by Tuesday 9 AM.
• Alert: =IF(NETWORKDAYS(TODAY(), deadline) &lt; 5, "URGENT", "OK") flags projects &lt; 5 working days remaining.</t>
        </is>
      </c>
    </row>
  </sheetData>
  <mergeCells count="31">
    <mergeCell ref="A48:H48"/>
    <mergeCell ref="A92:H92"/>
    <mergeCell ref="A24:H24"/>
    <mergeCell ref="A36:H36"/>
    <mergeCell ref="A1:H1"/>
    <mergeCell ref="A94:H94"/>
    <mergeCell ref="A70:H70"/>
    <mergeCell ref="A78:H78"/>
    <mergeCell ref="A54:H54"/>
    <mergeCell ref="A90:H90"/>
    <mergeCell ref="A66:H66"/>
    <mergeCell ref="A80:H80"/>
    <mergeCell ref="A46:H46"/>
    <mergeCell ref="A12:H12"/>
    <mergeCell ref="A56:H56"/>
    <mergeCell ref="A3:H3"/>
    <mergeCell ref="A26:H26"/>
    <mergeCell ref="A113:H113"/>
    <mergeCell ref="A104:H104"/>
    <mergeCell ref="A76:H76"/>
    <mergeCell ref="A32:H32"/>
    <mergeCell ref="A8:H8"/>
    <mergeCell ref="A22:H22"/>
    <mergeCell ref="A106:H106"/>
    <mergeCell ref="A10:H10"/>
    <mergeCell ref="A115:H115"/>
    <mergeCell ref="A68:H68"/>
    <mergeCell ref="A44:H44"/>
    <mergeCell ref="A102:H102"/>
    <mergeCell ref="A58:H58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2025-12-07T08:07:09Z</dcterms:created>
  <dcterms:modified xmlns:dcterms="http://purl.org/dc/terms/" xmlns:xsi="http://www.w3.org/2001/XMLSchema-instance" xsi:type="dcterms:W3CDTF">2025-12-07T08:08:53Z</dcterms:modified>
</cp:coreProperties>
</file>