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actice" sheetId="2" state="visible" r:id="rId2"/>
    <sheet xmlns:r="http://schemas.openxmlformats.org/officeDocument/2006/relationships" name="Solu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C00000"/>
      <sz val="14"/>
    </font>
    <font>
      <name val="Calibri"/>
      <i val="1"/>
      <color rgb="00666666"/>
      <sz val="11"/>
    </font>
    <font>
      <name val="Calibri"/>
      <b val="1"/>
      <color rgb="00C00000"/>
      <sz val="11"/>
    </font>
    <font>
      <name val="Calibri"/>
      <sz val="10"/>
    </font>
    <font>
      <name val="Calibri"/>
      <b val="1"/>
      <color rgb="00FFFFFF"/>
      <sz val="10"/>
    </font>
    <font>
      <name val="Calibri"/>
      <i val="1"/>
      <sz val="10"/>
    </font>
    <font>
      <i val="1"/>
      <color rgb="000070C0"/>
      <sz val="9"/>
    </font>
    <font>
      <b val="1"/>
    </font>
    <font>
      <name val="Courier New"/>
      <color rgb="00C00000"/>
      <sz val="9"/>
    </font>
    <font>
      <b val="1"/>
      <color rgb="00C00000"/>
    </font>
    <font>
      <b val="1"/>
      <color rgb="00C00000"/>
      <sz val="11"/>
    </font>
  </fonts>
  <fills count="9">
    <fill>
      <patternFill/>
    </fill>
    <fill>
      <patternFill patternType="gray125"/>
    </fill>
    <fill>
      <patternFill patternType="solid">
        <fgColor rgb="00F4CCCC"/>
        <bgColor rgb="00F4CCCC"/>
      </patternFill>
    </fill>
    <fill>
      <patternFill patternType="solid">
        <fgColor rgb="00C00000"/>
        <bgColor rgb="00C00000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5" fillId="3" borderId="0" pivotButton="0" quotePrefix="0" xfId="0"/>
    <xf numFmtId="0" fontId="4" fillId="0" borderId="0" applyAlignment="1" pivotButton="0" quotePrefix="0" xfId="0">
      <alignment horizontal="left" vertical="top" wrapText="1"/>
    </xf>
    <xf numFmtId="0" fontId="3" fillId="4" borderId="0" pivotButton="0" quotePrefix="0" xfId="0"/>
    <xf numFmtId="0" fontId="3" fillId="5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6" borderId="0" pivotButton="0" quotePrefix="0" xfId="0"/>
    <xf numFmtId="0" fontId="8" fillId="0" borderId="0" pivotButton="0" quotePrefix="0" xfId="0"/>
    <xf numFmtId="0" fontId="9" fillId="7" borderId="0" applyAlignment="1" pivotButton="0" quotePrefix="0" xfId="0">
      <alignment wrapText="1"/>
    </xf>
    <xf numFmtId="0" fontId="10" fillId="0" borderId="0" pivotButton="0" quotePrefix="0" xfId="0"/>
    <xf numFmtId="0" fontId="0" fillId="8" borderId="0" applyAlignment="1" pivotButton="0" quotePrefix="0" xfId="0">
      <alignment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ADVANCED EXCEL TOPICS &amp; MASTERY</t>
        </is>
      </c>
    </row>
    <row r="2">
      <c r="A2" s="2" t="inlineStr">
        <is>
          <t>Master Advanced Techniques: Array Formulas, Complex Lookups, Optimization, Professional Workflows</t>
        </is>
      </c>
    </row>
    <row r="4">
      <c r="A4" s="3" t="inlineStr">
        <is>
          <t>LEARNING OBJECTIVES</t>
        </is>
      </c>
    </row>
    <row r="5">
      <c r="A5" s="4" t="inlineStr">
        <is>
          <t>✓ Array formulas (process multiple values, return multiple results)</t>
        </is>
      </c>
    </row>
    <row r="6">
      <c r="A6" s="4" t="inlineStr">
        <is>
          <t>✓ INDEX/MATCH combination (flexible powerful lookup)</t>
        </is>
      </c>
    </row>
    <row r="7">
      <c r="A7" s="4" t="inlineStr">
        <is>
          <t>✓ Nested IF statements (complex multi-condition logic)</t>
        </is>
      </c>
    </row>
    <row r="8">
      <c r="A8" s="4" t="inlineStr">
        <is>
          <t>✓ Named ranges (improve formula readability)</t>
        </is>
      </c>
    </row>
    <row r="9">
      <c r="A9" s="4" t="inlineStr">
        <is>
          <t>✓ Dynamic ranges (expand/contract based on data)</t>
        </is>
      </c>
    </row>
    <row r="10">
      <c r="A10" s="4" t="inlineStr">
        <is>
          <t>✓ Error handling (IFERROR, IFNA graceful failures)</t>
        </is>
      </c>
    </row>
    <row r="11">
      <c r="A11" s="4" t="inlineStr">
        <is>
          <t>✓ Text/number manipulation (complex transformations)</t>
        </is>
      </c>
    </row>
    <row r="12">
      <c r="A12" s="4" t="inlineStr">
        <is>
          <t>✓ Performance optimization (efficient large datasets)</t>
        </is>
      </c>
    </row>
    <row r="14">
      <c r="A14" s="3" t="inlineStr">
        <is>
          <t>ADVANCED FORMULA TECHNIQUES</t>
        </is>
      </c>
    </row>
    <row r="15">
      <c r="A15" s="5" t="inlineStr">
        <is>
          <t>Technique</t>
        </is>
      </c>
      <c r="B15" s="5" t="inlineStr">
        <is>
          <t>Use Case</t>
        </is>
      </c>
      <c r="C15" s="5" t="inlineStr">
        <is>
          <t>Example</t>
        </is>
      </c>
      <c r="D15" s="5" t="inlineStr">
        <is>
          <t>Advantage</t>
        </is>
      </c>
    </row>
    <row r="16">
      <c r="A16" s="5" t="inlineStr">
        <is>
          <t>Array Formulas</t>
        </is>
      </c>
      <c r="B16" s="5" t="inlineStr">
        <is>
          <t>Process multiple cells at once</t>
        </is>
      </c>
      <c r="C16" s="5" t="inlineStr">
        <is>
          <t>{=SUM(IF(C:C&gt;1000,E:E))}</t>
        </is>
      </c>
      <c r="D16" s="5" t="inlineStr">
        <is>
          <t>Powerful aggregation</t>
        </is>
      </c>
    </row>
    <row r="17">
      <c r="A17" s="5" t="inlineStr">
        <is>
          <t>INDEX/MATCH</t>
        </is>
      </c>
      <c r="B17" s="5" t="inlineStr">
        <is>
          <t>Flexible two-way lookup</t>
        </is>
      </c>
      <c r="C17" s="5">
        <f>INDEX(array,MATCH(criteria,lookup,0))</f>
        <v/>
      </c>
      <c r="D17" s="5" t="inlineStr">
        <is>
          <t>More flexible than VLOOKUP</t>
        </is>
      </c>
    </row>
    <row r="18">
      <c r="A18" s="5" t="inlineStr">
        <is>
          <t>IFERROR</t>
        </is>
      </c>
      <c r="B18" s="5" t="inlineStr">
        <is>
          <t>Handle errors gracefully</t>
        </is>
      </c>
      <c r="C18" s="5">
        <f>IFERROR(VLOOKUP(...),"Not Found")</f>
        <v/>
      </c>
      <c r="D18" s="5" t="inlineStr">
        <is>
          <t>User-friendly error messages</t>
        </is>
      </c>
    </row>
    <row r="19">
      <c r="A19" s="5" t="inlineStr">
        <is>
          <t>Named Ranges</t>
        </is>
      </c>
      <c r="B19" s="5" t="inlineStr">
        <is>
          <t>Reference ranges by name</t>
        </is>
      </c>
      <c r="C19" s="5">
        <f>SUMIF(Regions,"USA",Sales)</f>
        <v/>
      </c>
      <c r="D19" s="5" t="inlineStr">
        <is>
          <t>Readable, maintainable</t>
        </is>
      </c>
    </row>
    <row r="20">
      <c r="A20" s="5" t="inlineStr">
        <is>
          <t>Nested IF</t>
        </is>
      </c>
      <c r="B20" s="5" t="inlineStr">
        <is>
          <t>Complex multi-condition logic</t>
        </is>
      </c>
      <c r="C20" s="5">
        <f>IF(A&gt;100,IF(B&gt;50,"High","Med"),"Low")</f>
        <v/>
      </c>
      <c r="D20" s="5" t="inlineStr">
        <is>
          <t>Multiple conditions</t>
        </is>
      </c>
    </row>
    <row r="21">
      <c r="A21" s="5" t="inlineStr">
        <is>
          <t>OFFSET/INDIRECT</t>
        </is>
      </c>
      <c r="B21" s="5" t="inlineStr">
        <is>
          <t>Dynamic range references</t>
        </is>
      </c>
      <c r="C21" s="5">
        <f>SUM(OFFSET(A1,0,0,ROWS(A:A),1))</f>
        <v/>
      </c>
      <c r="D21" s="5" t="inlineStr">
        <is>
          <t>Expandable ranges</t>
        </is>
      </c>
    </row>
    <row r="22">
      <c r="A22" s="5" t="inlineStr">
        <is>
          <t>Formula Auditing</t>
        </is>
      </c>
      <c r="B22" s="5" t="inlineStr">
        <is>
          <t>Debug complex formulas</t>
        </is>
      </c>
      <c r="C22" s="5" t="inlineStr">
        <is>
          <t>Trace Precedents, Trace Dependents</t>
        </is>
      </c>
      <c r="D22" s="5" t="inlineStr">
        <is>
          <t>Find errors quickly</t>
        </is>
      </c>
    </row>
    <row r="24">
      <c r="A24" s="3" t="inlineStr">
        <is>
          <t>KEY ADVANCED CONCEPTS</t>
        </is>
      </c>
    </row>
    <row r="25">
      <c r="A25" s="6" t="inlineStr">
        <is>
          <t>ARRAY POWER</t>
        </is>
      </c>
    </row>
    <row r="26" ht="25" customHeight="1">
      <c r="A26" s="7" t="inlineStr">
        <is>
          <t>Process multiple rows/columns in single formula. SUM(IF(...)) = sum with condition. Ctrl+Shift+Enter to activate.</t>
        </is>
      </c>
    </row>
    <row r="27">
      <c r="A27" s="6" t="inlineStr">
        <is>
          <t>INDEX/MATCH COMBO</t>
        </is>
      </c>
    </row>
    <row r="28" ht="25" customHeight="1">
      <c r="A28" s="7" t="inlineStr">
        <is>
          <t>VLOOKUP limited (only right). INDEX/MATCH unlimited (any direction, multi-column). More powerful.</t>
        </is>
      </c>
    </row>
    <row r="29">
      <c r="A29" s="6" t="inlineStr">
        <is>
          <t>ERROR HANDLING</t>
        </is>
      </c>
    </row>
    <row r="30" ht="25" customHeight="1">
      <c r="A30" s="7" t="inlineStr">
        <is>
          <t>Real data has gaps. IFERROR wraps formulas, returns friendly message. No #N/A errors visible to users.</t>
        </is>
      </c>
    </row>
    <row r="31">
      <c r="A31" s="6" t="inlineStr">
        <is>
          <t>NAMED RANGES</t>
        </is>
      </c>
    </row>
    <row r="32" ht="25" customHeight="1">
      <c r="A32" s="7" t="inlineStr">
        <is>
          <t>Range A2:A100 is confusing. Named 'Customers' is clear. Formulas readable: =SUM(Sales) vs =SUM(D2:D100)</t>
        </is>
      </c>
    </row>
    <row r="34">
      <c r="A34" s="3" t="inlineStr">
        <is>
          <t>BEST PRACTICES FOR ADVANCED FORMULAS</t>
        </is>
      </c>
    </row>
    <row r="35">
      <c r="A35" s="4" t="inlineStr">
        <is>
          <t>🔹 Use named ranges. Self-documenting formulas = easier maintenance. =SUM(Sales) clearer than =SUM(D2:D100).</t>
        </is>
      </c>
    </row>
    <row r="36">
      <c r="A36" s="4" t="inlineStr">
        <is>
          <t>🔹 Add error handling. IFERROR/IFNA wraps formulas gracefully. No #N/A, #VALUE! visible to users.</t>
        </is>
      </c>
    </row>
    <row r="37">
      <c r="A37" s="4" t="inlineStr">
        <is>
          <t>🔹 INDEX/MATCH over VLOOKUP. More flexible, clearer intent. Can lookup left, right, or both.</t>
        </is>
      </c>
    </row>
    <row r="38">
      <c r="A38" s="4" t="inlineStr">
        <is>
          <t>🔹 Document complex formulas. Add comments explaining logic. Future you (or team) will understand.</t>
        </is>
      </c>
    </row>
    <row r="39">
      <c r="A39" s="4" t="inlineStr">
        <is>
          <t>🔹 Test edge cases. Empty cells, duplicates, special characters. Make sure formula handles all scenarios.</t>
        </is>
      </c>
    </row>
    <row r="40">
      <c r="A40" s="4" t="inlineStr">
        <is>
          <t>🔹 Optimize for performance. Large datasets: avoid array formulas if possible. Use helper columns instead.</t>
        </is>
      </c>
    </row>
    <row r="42">
      <c r="A42" s="8" t="inlineStr">
        <is>
          <t>COMMON ADVANCED FORMULA MISTAKES</t>
        </is>
      </c>
    </row>
    <row r="43">
      <c r="A43" s="4" t="inlineStr">
        <is>
          <t>❌ Forgot Ctrl+Shift+Enter: Array formula typed, but not activated. Formula doesn't work. Press Ctrl+Shift+Enter, not just Enter.</t>
        </is>
      </c>
    </row>
    <row r="44">
      <c r="A44" s="4" t="inlineStr">
        <is>
          <t>❌ VLOOKUP wrong column: =VLOOKUP(lookup, A:C, 5, FALSE) = error (only 3 cols). Must count: A=1, B=2, C=3.</t>
        </is>
      </c>
    </row>
    <row r="45">
      <c r="A45" s="4" t="inlineStr">
        <is>
          <t>❌ Circular reference: Formula references its own cell. Infinite loop. Check: formulas shouldn't reference themselves.</t>
        </is>
      </c>
    </row>
    <row r="46">
      <c r="A46" s="4" t="inlineStr">
        <is>
          <t>❌ Named range typo: Formula references 'Sales', but named 'Sales_2024'. Excel can't find it. Case-sensitive.</t>
        </is>
      </c>
    </row>
    <row r="47">
      <c r="A47" s="4" t="inlineStr">
        <is>
          <t>❌ No error handling: Lookup fails, #N/A displayed. User confused. Wrap with IFERROR for friendly message.</t>
        </is>
      </c>
    </row>
    <row r="48">
      <c r="A48" s="4" t="inlineStr">
        <is>
          <t>❌ Performance ignored: Array formula on 100k rows = slow. Split into helper columns or optimize logic.</t>
        </is>
      </c>
    </row>
  </sheetData>
  <mergeCells count="35">
    <mergeCell ref="A46:F46"/>
    <mergeCell ref="A37:F37"/>
    <mergeCell ref="A27:F27"/>
    <mergeCell ref="A12:F12"/>
    <mergeCell ref="A26:F26"/>
    <mergeCell ref="A2:F2"/>
    <mergeCell ref="A47:F47"/>
    <mergeCell ref="A42:F42"/>
    <mergeCell ref="A14:F14"/>
    <mergeCell ref="A5:F5"/>
    <mergeCell ref="A32:F32"/>
    <mergeCell ref="A8:F8"/>
    <mergeCell ref="A35:F35"/>
    <mergeCell ref="A4:F4"/>
    <mergeCell ref="A29:F29"/>
    <mergeCell ref="A43:F43"/>
    <mergeCell ref="A38:F38"/>
    <mergeCell ref="A10:F10"/>
    <mergeCell ref="A28:F28"/>
    <mergeCell ref="A44:F44"/>
    <mergeCell ref="A9:F9"/>
    <mergeCell ref="A31:F31"/>
    <mergeCell ref="A34:F34"/>
    <mergeCell ref="A40:F40"/>
    <mergeCell ref="A48:F48"/>
    <mergeCell ref="A30:F30"/>
    <mergeCell ref="A39:F39"/>
    <mergeCell ref="A24:F24"/>
    <mergeCell ref="A11:F11"/>
    <mergeCell ref="A36:F36"/>
    <mergeCell ref="A1:F1"/>
    <mergeCell ref="A45:F45"/>
    <mergeCell ref="A6:F6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5" customHeight="1">
      <c r="A1" s="1" t="inlineStr">
        <is>
          <t>10 ADVANCED EXCEL PRACTICE EXERCISES</t>
        </is>
      </c>
    </row>
    <row r="3">
      <c r="A3" s="9" t="inlineStr">
        <is>
          <t>EXERCISE 1: Array Formula - Sum with Condition</t>
        </is>
      </c>
    </row>
    <row r="4">
      <c r="A4" s="10" t="inlineStr">
        <is>
          <t>Sum sales only where status = Closed. {=SUM(IF(Status="Closed",Sales))} Array formula.</t>
        </is>
      </c>
    </row>
    <row r="6">
      <c r="A6" s="11" t="inlineStr">
        <is>
          <t>STEPS: See Solutions tab for detailed explanations and formulas.</t>
        </is>
      </c>
    </row>
    <row r="8">
      <c r="A8" s="9" t="inlineStr">
        <is>
          <t>EXERCISE 2: INDEX/MATCH Lookup</t>
        </is>
      </c>
    </row>
    <row r="9">
      <c r="A9" s="10" t="inlineStr">
        <is>
          <t>Find customer name from ID. =INDEX(Names,MATCH(lookup_id,IDs,0)). Flexible lookup.</t>
        </is>
      </c>
    </row>
    <row r="11">
      <c r="A11" s="11" t="inlineStr">
        <is>
          <t>STEPS: See Solutions tab for detailed explanations and formulas.</t>
        </is>
      </c>
    </row>
    <row r="13">
      <c r="A13" s="9" t="inlineStr">
        <is>
          <t>EXERCISE 3: IFERROR Graceful Handling</t>
        </is>
      </c>
    </row>
    <row r="14">
      <c r="A14" s="10" t="inlineStr">
        <is>
          <t>Lookup with error handling. =IFERROR(VLOOKUP(...),'Not Found'). User-friendly.</t>
        </is>
      </c>
    </row>
    <row r="16">
      <c r="A16" s="11" t="inlineStr">
        <is>
          <t>STEPS: See Solutions tab for detailed explanations and formulas.</t>
        </is>
      </c>
    </row>
    <row r="18">
      <c r="A18" s="9" t="inlineStr">
        <is>
          <t>EXERCISE 4: Named Ranges</t>
        </is>
      </c>
    </row>
    <row r="19">
      <c r="A19" s="10" t="inlineStr">
        <is>
          <t>Create named ranges: 'Regions', 'Sales'. Use in formulas: =SUMIF(Regions,'USA',Sales).</t>
        </is>
      </c>
    </row>
    <row r="21">
      <c r="A21" s="11" t="inlineStr">
        <is>
          <t>STEPS: See Solutions tab for detailed explanations and formulas.</t>
        </is>
      </c>
    </row>
    <row r="23">
      <c r="A23" s="9" t="inlineStr">
        <is>
          <t>EXERCISE 5: Nested IF Logic</t>
        </is>
      </c>
    </row>
    <row r="24">
      <c r="A24" s="10" t="inlineStr">
        <is>
          <t>Complex conditions. =IF(Revenue&gt;100k,'High',IF(Revenue&gt;50k,'Medium','Low')). Multi-tier.</t>
        </is>
      </c>
    </row>
    <row r="26">
      <c r="A26" s="11" t="inlineStr">
        <is>
          <t>STEPS: See Solutions tab for detailed explanations and formulas.</t>
        </is>
      </c>
    </row>
    <row r="28">
      <c r="A28" s="9" t="inlineStr">
        <is>
          <t>EXERCISE 6: SUMIFS Multiple Criteria</t>
        </is>
      </c>
    </row>
    <row r="29">
      <c r="A29" s="10" t="inlineStr">
        <is>
          <t>Sum with multiple conditions. =SUMIFS(Sales,Region,'USA',Status,'Closed'). Powerful filtering.</t>
        </is>
      </c>
    </row>
    <row r="31">
      <c r="A31" s="11" t="inlineStr">
        <is>
          <t>STEPS: See Solutions tab for detailed explanations and formulas.</t>
        </is>
      </c>
    </row>
    <row r="33">
      <c r="A33" s="9" t="inlineStr">
        <is>
          <t>EXERCISE 7: Dynamic Range (OFFSET)</t>
        </is>
      </c>
    </row>
    <row r="34">
      <c r="A34" s="10" t="inlineStr">
        <is>
          <t>Create expanding range. =SUM(OFFSET(A1,0,0,ROWS(A:A),1)). Auto-includes new data.</t>
        </is>
      </c>
    </row>
    <row r="36">
      <c r="A36" s="11" t="inlineStr">
        <is>
          <t>STEPS: See Solutions tab for detailed explanations and formulas.</t>
        </is>
      </c>
    </row>
    <row r="38">
      <c r="A38" s="9" t="inlineStr">
        <is>
          <t>EXERCISE 8: Two-Way Matrix Lookup</t>
        </is>
      </c>
    </row>
    <row r="39">
      <c r="A39" s="10" t="inlineStr">
        <is>
          <t>Find value at intersection. =INDEX(Matrix,MATCH(row_criteria),MATCH(col_criteria)). Advanced.</t>
        </is>
      </c>
    </row>
    <row r="41">
      <c r="A41" s="11" t="inlineStr">
        <is>
          <t>STEPS: See Solutions tab for detailed explanations and formulas.</t>
        </is>
      </c>
    </row>
    <row r="43">
      <c r="A43" s="9" t="inlineStr">
        <is>
          <t>EXERCISE 9: Formula Auditing &amp; Debugging</t>
        </is>
      </c>
    </row>
    <row r="44">
      <c r="A44" s="10" t="inlineStr">
        <is>
          <t>Trace formula precedents/dependents. Find circular references. Debug complex formulas.</t>
        </is>
      </c>
    </row>
    <row r="46">
      <c r="A46" s="11" t="inlineStr">
        <is>
          <t>STEPS: See Solutions tab for detailed explanations and formulas.</t>
        </is>
      </c>
    </row>
    <row r="48">
      <c r="A48" s="9" t="inlineStr">
        <is>
          <t>EXERCISE 10: Performance Optimization</t>
        </is>
      </c>
    </row>
    <row r="49">
      <c r="A49" s="10" t="inlineStr">
        <is>
          <t>Large dataset: avoid array formulas. Use helper columns. Optimize for speed on 100k+ rows.</t>
        </is>
      </c>
    </row>
    <row r="51">
      <c r="A51" s="11" t="inlineStr">
        <is>
          <t>STEPS: See Solutions tab for detailed explanations and formulas.</t>
        </is>
      </c>
    </row>
  </sheetData>
  <mergeCells count="31">
    <mergeCell ref="A9:H9"/>
    <mergeCell ref="A48:H48"/>
    <mergeCell ref="A39:H39"/>
    <mergeCell ref="A24:H24"/>
    <mergeCell ref="A51:H51"/>
    <mergeCell ref="A36:H36"/>
    <mergeCell ref="A11:H11"/>
    <mergeCell ref="A49:H49"/>
    <mergeCell ref="A1:H1"/>
    <mergeCell ref="A6:H6"/>
    <mergeCell ref="A16:H16"/>
    <mergeCell ref="A41:H41"/>
    <mergeCell ref="A46:H46"/>
    <mergeCell ref="A18:H18"/>
    <mergeCell ref="A3:H3"/>
    <mergeCell ref="A21:H21"/>
    <mergeCell ref="A26:H26"/>
    <mergeCell ref="A33:H33"/>
    <mergeCell ref="A14:H14"/>
    <mergeCell ref="A23:H23"/>
    <mergeCell ref="A8:H8"/>
    <mergeCell ref="A4:H4"/>
    <mergeCell ref="A29:H29"/>
    <mergeCell ref="A43:H43"/>
    <mergeCell ref="A38:H38"/>
    <mergeCell ref="A28:H28"/>
    <mergeCell ref="A13:H13"/>
    <mergeCell ref="A19:H19"/>
    <mergeCell ref="A44:H44"/>
    <mergeCell ref="A31:H31"/>
    <mergeCell ref="A34:H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5" customHeight="1">
      <c r="A1" s="1" t="inlineStr">
        <is>
          <t>COMPLETE ADVANCED SOLUTIONS &amp; EXPLANATIONS</t>
        </is>
      </c>
    </row>
    <row r="3">
      <c r="A3" s="12" t="inlineStr">
        <is>
          <t>SOLUTION 1: Array Formula - Sum with Condition</t>
        </is>
      </c>
    </row>
    <row r="4">
      <c r="A4" s="13" t="inlineStr">
        <is>
          <t>Formula/Technique:</t>
        </is>
      </c>
      <c r="B4" s="14" t="inlineStr">
        <is>
          <t>{=SUM(IF(Status="Closed",Sales))}</t>
        </is>
      </c>
    </row>
    <row r="5">
      <c r="A5" s="15" t="inlineStr">
        <is>
          <t>How It Works:</t>
        </is>
      </c>
      <c r="B5" s="16" t="inlineStr">
        <is>
          <t>Array formula processes entire Status column. IF returns array of sales for closed deals only. SUM totals array. Ctrl+Shift+Enter required.</t>
        </is>
      </c>
    </row>
    <row r="7">
      <c r="A7" s="12" t="inlineStr">
        <is>
          <t>SOLUTION 2: INDEX/MATCH Lookup</t>
        </is>
      </c>
    </row>
    <row r="8">
      <c r="A8" s="13" t="inlineStr">
        <is>
          <t>Formula/Technique:</t>
        </is>
      </c>
      <c r="B8" s="14">
        <f>INDEX(Names,MATCH(lookup_id,IDs,0))</f>
        <v/>
      </c>
    </row>
    <row r="9">
      <c r="A9" s="15" t="inlineStr">
        <is>
          <t>How It Works:</t>
        </is>
      </c>
      <c r="B9" s="16" t="inlineStr">
        <is>
          <t>MATCH finds position of ID, INDEX returns name at that position. More flexible than VLOOKUP. Can lookup left, right, or both.</t>
        </is>
      </c>
    </row>
    <row r="11">
      <c r="A11" s="12" t="inlineStr">
        <is>
          <t>SOLUTION 3: IFERROR Error Handling</t>
        </is>
      </c>
    </row>
    <row r="12">
      <c r="A12" s="13" t="inlineStr">
        <is>
          <t>Formula/Technique:</t>
        </is>
      </c>
      <c r="B12" s="14">
        <f>IFERROR(VLOOKUP(id,table,3,0),"Not Found")</f>
        <v/>
      </c>
    </row>
    <row r="13">
      <c r="A13" s="15" t="inlineStr">
        <is>
          <t>How It Works:</t>
        </is>
      </c>
      <c r="B13" s="16" t="inlineStr">
        <is>
          <t>IFERROR wraps VLOOKUP. If lookup fails (#N/A), returns "Not Found". Graceful failure. User sees message, not error code.</t>
        </is>
      </c>
    </row>
    <row r="15">
      <c r="A15" s="12" t="inlineStr">
        <is>
          <t>SOLUTION 4: Named Ranges</t>
        </is>
      </c>
    </row>
    <row r="16">
      <c r="A16" s="13" t="inlineStr">
        <is>
          <t>Formula/Technique:</t>
        </is>
      </c>
      <c r="B16" s="14">
        <f>SUMIF(Regions,"USA",Sales)</f>
        <v/>
      </c>
    </row>
    <row r="17">
      <c r="A17" s="15" t="inlineStr">
        <is>
          <t>How It Works:</t>
        </is>
      </c>
      <c r="B17" s="16" t="inlineStr">
        <is>
          <t>Create named ranges via Formulas &gt; Define Name. Regions = A:A, Sales = D:D. Formulas self-documenting. Easier maintenance.</t>
        </is>
      </c>
    </row>
    <row r="19">
      <c r="A19" s="12" t="inlineStr">
        <is>
          <t>SOLUTION 5: Nested IF Logic</t>
        </is>
      </c>
    </row>
    <row r="20">
      <c r="A20" s="13" t="inlineStr">
        <is>
          <t>Formula/Technique:</t>
        </is>
      </c>
      <c r="B20" s="14">
        <f>IF(Revenue&gt;100000,"High",IF(Revenue&gt;50000,"Medium","Low"))</f>
        <v/>
      </c>
    </row>
    <row r="21">
      <c r="A21" s="15" t="inlineStr">
        <is>
          <t>How It Works:</t>
        </is>
      </c>
      <c r="B21" s="16" t="inlineStr">
        <is>
          <t>Nested IF enables multi-tier conditions. Check 100k first, if no, check 50k, if no, default. Order matters.</t>
        </is>
      </c>
    </row>
    <row r="23">
      <c r="A23" s="12" t="inlineStr">
        <is>
          <t>SOLUTION 6: SUMIFS Multiple Criteria</t>
        </is>
      </c>
    </row>
    <row r="24">
      <c r="A24" s="13" t="inlineStr">
        <is>
          <t>Formula/Technique:</t>
        </is>
      </c>
      <c r="B24" s="14">
        <f>SUMIFS(Sales,Region,"USA",Status,"Closed")</f>
        <v/>
      </c>
    </row>
    <row r="25">
      <c r="A25" s="15" t="inlineStr">
        <is>
          <t>How It Works:</t>
        </is>
      </c>
      <c r="B25" s="16" t="inlineStr">
        <is>
          <t>SUMIFS sums with multiple conditions (AND logic). USA AND Closed. More readable than complex array formulas.</t>
        </is>
      </c>
    </row>
    <row r="27">
      <c r="A27" s="12" t="inlineStr">
        <is>
          <t>SOLUTION 7: Dynamic Range (OFFSET)</t>
        </is>
      </c>
    </row>
    <row r="28">
      <c r="A28" s="13" t="inlineStr">
        <is>
          <t>Formula/Technique:</t>
        </is>
      </c>
      <c r="B28" s="14">
        <f>SUM(OFFSET(A1,0,0,ROWS(A:A),1))</f>
        <v/>
      </c>
    </row>
    <row r="29">
      <c r="A29" s="15" t="inlineStr">
        <is>
          <t>How It Works:</t>
        </is>
      </c>
      <c r="B29" s="16" t="inlineStr">
        <is>
          <t>OFFSET creates expanding range from A1, height = number of rows with data. New rows auto-included. Dynamic.</t>
        </is>
      </c>
    </row>
    <row r="31">
      <c r="A31" s="12" t="inlineStr">
        <is>
          <t>SOLUTION 8: Two-Way Matrix Lookup</t>
        </is>
      </c>
    </row>
    <row r="32">
      <c r="A32" s="13" t="inlineStr">
        <is>
          <t>Formula/Technique:</t>
        </is>
      </c>
      <c r="B32" s="14">
        <f>INDEX(Matrix,MATCH(row_criteria,row_labels,0),MATCH(col_criteria,col_labels,0))</f>
        <v/>
      </c>
    </row>
    <row r="33">
      <c r="A33" s="15" t="inlineStr">
        <is>
          <t>How It Works:</t>
        </is>
      </c>
      <c r="B33" s="16" t="inlineStr">
        <is>
          <t>INDEX with two MATCH: one for row, one for column. Finds value at intersection. Advanced but powerful for matrices.</t>
        </is>
      </c>
    </row>
    <row r="35">
      <c r="A35" s="12" t="inlineStr">
        <is>
          <t>SOLUTION 9: Formula Auditing &amp; Debugging</t>
        </is>
      </c>
    </row>
    <row r="36">
      <c r="A36" s="13" t="inlineStr">
        <is>
          <t>Formula/Technique:</t>
        </is>
      </c>
      <c r="B36" s="14" t="inlineStr">
        <is>
          <t>Formulas &gt; Trace Precedents / Trace Dependents / Show Formulas / Check for Errors</t>
        </is>
      </c>
    </row>
    <row r="37">
      <c r="A37" s="15" t="inlineStr">
        <is>
          <t>How It Works:</t>
        </is>
      </c>
      <c r="B37" s="16" t="inlineStr">
        <is>
          <t>Tools to debug. Trace shows formula dependencies. Show Formulas displays all formulas (Ctrl+`). Find circular refs, errors.</t>
        </is>
      </c>
    </row>
    <row r="39">
      <c r="A39" s="12" t="inlineStr">
        <is>
          <t>SOLUTION 10: Performance Optimization</t>
        </is>
      </c>
    </row>
    <row r="40">
      <c r="A40" s="13" t="inlineStr">
        <is>
          <t>Formula/Technique:</t>
        </is>
      </c>
      <c r="B40" s="14" t="inlineStr">
        <is>
          <t>Use helper columns instead of array formulas on large datasets. SUMIFS instead of SUM(IF) on 100k+ rows.</t>
        </is>
      </c>
    </row>
    <row r="41">
      <c r="A41" s="15" t="inlineStr">
        <is>
          <t>How It Works:</t>
        </is>
      </c>
      <c r="B41" s="16" t="inlineStr">
        <is>
          <t>Array formulas slow on large datasets. Helper columns faster. SUMIFS/COUNTIFS optimized. Design for scale: think 100k rows.</t>
        </is>
      </c>
    </row>
    <row r="43">
      <c r="A43" s="17" t="inlineStr">
        <is>
          <t>ADVANCED EXCEL MASTERY PATH</t>
        </is>
      </c>
    </row>
    <row r="44">
      <c r="A44" s="4" t="inlineStr">
        <is>
          <t>FOUNDATION (Workbooks 1-5): Master basics. Formulas, functions, logic, lookups. Every analyst needs these.</t>
        </is>
      </c>
    </row>
    <row r="45">
      <c r="A45" s="4" t="inlineStr">
        <is>
          <t>DATA SCIENCE (Workbooks 6-9): Learn data prep, analysis, visualization, exploration. Turn raw data into insights.</t>
        </is>
      </c>
    </row>
    <row r="46">
      <c r="A46" s="4" t="inlineStr">
        <is>
          <t>PROFESSIONAL (Workbooks 10-11): Add quality controls, visual analytics. Build robust, user-friendly systems.</t>
        </is>
      </c>
    </row>
    <row r="47">
      <c r="A47" s="4" t="inlineStr">
        <is>
          <t>MASTERY (Workbook 12): Advanced techniques. Array formulas, INDEX/MATCH, error handling, optimization.</t>
        </is>
      </c>
    </row>
    <row r="48"/>
    <row r="49">
      <c r="A49" s="4" t="inlineStr">
        <is>
          <t>YOU'VE NOW MASTERED: Calculations, analysis, visualization, exploration, quality control, visual storytelling, advanced techniques.</t>
        </is>
      </c>
    </row>
    <row r="50">
      <c r="A50" s="4" t="inlineStr">
        <is>
          <t>NEXT STEP: Apply these skills to your contract analysis AI platform. Build data pipelines, dashboards, automated reports.</t>
        </is>
      </c>
    </row>
  </sheetData>
  <mergeCells count="29">
    <mergeCell ref="A48:H48"/>
    <mergeCell ref="A39:H39"/>
    <mergeCell ref="B9:H9"/>
    <mergeCell ref="A15:H15"/>
    <mergeCell ref="A11:H11"/>
    <mergeCell ref="A49:H49"/>
    <mergeCell ref="B33:H33"/>
    <mergeCell ref="A1:H1"/>
    <mergeCell ref="A45:H45"/>
    <mergeCell ref="B5:H5"/>
    <mergeCell ref="B37:H37"/>
    <mergeCell ref="B41:H41"/>
    <mergeCell ref="A7:H7"/>
    <mergeCell ref="B25:H25"/>
    <mergeCell ref="A46:H46"/>
    <mergeCell ref="A27:H27"/>
    <mergeCell ref="A50:H50"/>
    <mergeCell ref="A3:H3"/>
    <mergeCell ref="B21:H21"/>
    <mergeCell ref="A47:H47"/>
    <mergeCell ref="A23:H23"/>
    <mergeCell ref="B17:H17"/>
    <mergeCell ref="A35:H35"/>
    <mergeCell ref="B13:H13"/>
    <mergeCell ref="A43:H43"/>
    <mergeCell ref="A19:H19"/>
    <mergeCell ref="B29:H29"/>
    <mergeCell ref="A44:H44"/>
    <mergeCell ref="A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2025-12-07T08:55:24Z</dcterms:created>
  <dcterms:modified xmlns:dcterms="http://purl.org/dc/terms/" xmlns:xsi="http://www.w3.org/2001/XMLSchema-instance" xsi:type="dcterms:W3CDTF">2025-12-07T08:55:47Z</dcterms:modified>
</cp:coreProperties>
</file>