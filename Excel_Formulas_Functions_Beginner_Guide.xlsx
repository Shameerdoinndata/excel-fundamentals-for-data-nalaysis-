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0&quot;%&quot;"/>
    <numFmt numFmtId="166" formatCode="$#,##0"/>
  </numFmts>
  <fonts count="1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666666"/>
      <sz val="11"/>
    </font>
    <font>
      <name val="Calibri"/>
      <b val="1"/>
      <color rgb="001F4E78"/>
      <sz val="11"/>
    </font>
    <font>
      <name val="Calibri"/>
      <sz val="10"/>
    </font>
    <font>
      <name val="Calibri"/>
      <b val="1"/>
      <color rgb="00FFFFFF"/>
      <sz val="10"/>
    </font>
    <font>
      <name val="Calibri"/>
      <i val="1"/>
      <sz val="10"/>
    </font>
    <font>
      <name val="Calibri"/>
      <b val="1"/>
      <color rgb="00FFFFFF"/>
      <sz val="12"/>
    </font>
    <font>
      <b val="1"/>
      <sz val="10"/>
    </font>
    <font>
      <b val="1"/>
    </font>
    <font>
      <i val="1"/>
      <color rgb="000070C0"/>
      <sz val="9"/>
    </font>
    <font>
      <name val="Courier New"/>
      <color rgb="00C00000"/>
      <sz val="11"/>
    </font>
    <font>
      <b val="1"/>
      <color rgb="001F4E78"/>
    </font>
    <font>
      <name val="Courier New"/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3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4" borderId="0" pivotButton="0" quotePrefix="0" xfId="0"/>
    <xf numFmtId="0" fontId="3" fillId="5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8" fillId="2" borderId="0" pivotButton="0" quotePrefix="0" xfId="0"/>
    <xf numFmtId="164" fontId="9" fillId="2" borderId="1" pivotButton="0" quotePrefix="0" xfId="0"/>
    <xf numFmtId="0" fontId="10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0" fontId="0" fillId="0" borderId="1" pivotButton="0" quotePrefix="0" xfId="0"/>
    <xf numFmtId="9" fontId="0" fillId="0" borderId="1" pivotButton="0" quotePrefix="0" xfId="0"/>
    <xf numFmtId="0" fontId="7" fillId="3" borderId="1" applyAlignment="1" pivotButton="0" quotePrefix="0" xfId="0">
      <alignment horizontal="center"/>
    </xf>
    <xf numFmtId="165" fontId="0" fillId="0" borderId="1" pivotButton="0" quotePrefix="0" xfId="0"/>
    <xf numFmtId="0" fontId="7" fillId="3" borderId="1" pivotButton="0" quotePrefix="0" xfId="0"/>
    <xf numFmtId="166" fontId="0" fillId="0" borderId="1" pivotButton="0" quotePrefix="0" xfId="0"/>
    <xf numFmtId="0" fontId="8" fillId="0" borderId="0" pivotButton="0" quotePrefix="0" xfId="0"/>
    <xf numFmtId="0" fontId="3" fillId="6" borderId="0" pivotButton="0" quotePrefix="0" xfId="0"/>
    <xf numFmtId="0" fontId="11" fillId="7" borderId="0" pivotButton="0" quotePrefix="0" xfId="0"/>
    <xf numFmtId="164" fontId="0" fillId="8" borderId="0" pivotButton="0" quotePrefix="0" xfId="0"/>
    <xf numFmtId="0" fontId="12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8" borderId="0" pivotButton="0" quotePrefix="0" xfId="0"/>
    <xf numFmtId="0" fontId="13" fillId="7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ESSENTIAL FORMULAS &amp; FUNCTIONS</t>
        </is>
      </c>
    </row>
    <row r="2">
      <c r="A2" s="2" t="inlineStr">
        <is>
          <t>A Complete Beginner's Guide to Core Excel Functions</t>
        </is>
      </c>
    </row>
    <row r="4">
      <c r="A4" s="3" t="inlineStr">
        <is>
          <t>LEARNING OBJECTIVES</t>
        </is>
      </c>
    </row>
    <row r="5">
      <c r="A5" s="4" t="inlineStr">
        <is>
          <t>✓ Master SUM, AVERAGE, COUNT, MIN, MAX functions</t>
        </is>
      </c>
    </row>
    <row r="6">
      <c r="A6" s="4" t="inlineStr">
        <is>
          <t>✓ Understand absolute vs relative cell references ($A$1 vs A1)</t>
        </is>
      </c>
    </row>
    <row r="7">
      <c r="A7" s="4" t="inlineStr">
        <is>
          <t>✓ Use ROUND to format numbers appropriately</t>
        </is>
      </c>
    </row>
    <row r="8">
      <c r="A8" s="4" t="inlineStr">
        <is>
          <t>✓ Apply functions to real business scenarios</t>
        </is>
      </c>
    </row>
    <row r="9">
      <c r="A9" s="4" t="inlineStr">
        <is>
          <t>✓ Recognize when to use each function</t>
        </is>
      </c>
    </row>
    <row r="10">
      <c r="A10" s="4" t="inlineStr">
        <is>
          <t>✓ Debug common formula errors (#REF!, #VALUE!, #DIV/0!)</t>
        </is>
      </c>
    </row>
    <row r="12">
      <c r="A12" s="3" t="inlineStr">
        <is>
          <t>CORE FUNCTIONS OVERVIEW</t>
        </is>
      </c>
    </row>
    <row r="13">
      <c r="A13" s="5" t="inlineStr">
        <is>
          <t>Function</t>
        </is>
      </c>
      <c r="B13" s="5" t="inlineStr">
        <is>
          <t>Syntax</t>
        </is>
      </c>
      <c r="C13" s="5" t="inlineStr">
        <is>
          <t>Purpose</t>
        </is>
      </c>
      <c r="D13" s="5" t="inlineStr">
        <is>
          <t>Example</t>
        </is>
      </c>
    </row>
    <row r="14">
      <c r="A14" s="5" t="inlineStr">
        <is>
          <t>SUM</t>
        </is>
      </c>
      <c r="B14" s="5">
        <f>SUM(range)</f>
        <v/>
      </c>
      <c r="C14" s="5" t="inlineStr">
        <is>
          <t>Adds all numbers in a range</t>
        </is>
      </c>
      <c r="D14" s="5">
        <f>SUM(B2:B10)</f>
        <v/>
      </c>
    </row>
    <row r="15">
      <c r="A15" s="5" t="inlineStr">
        <is>
          <t>AVERAGE</t>
        </is>
      </c>
      <c r="B15" s="5">
        <f>AVERAGE(range)</f>
        <v/>
      </c>
      <c r="C15" s="5" t="inlineStr">
        <is>
          <t>Calculates mean of numbers</t>
        </is>
      </c>
      <c r="D15" s="5">
        <f>AVERAGE(B2:B10)</f>
        <v/>
      </c>
    </row>
    <row r="16">
      <c r="A16" s="5" t="inlineStr">
        <is>
          <t>COUNT</t>
        </is>
      </c>
      <c r="B16" s="5">
        <f>COUNT(range)</f>
        <v/>
      </c>
      <c r="C16" s="5" t="inlineStr">
        <is>
          <t>Counts cells with numbers</t>
        </is>
      </c>
      <c r="D16" s="5">
        <f>COUNT(B2:B10)</f>
        <v/>
      </c>
    </row>
    <row r="17">
      <c r="A17" s="5" t="inlineStr">
        <is>
          <t>COUNTA</t>
        </is>
      </c>
      <c r="B17" s="5">
        <f>COUNTA(range)</f>
        <v/>
      </c>
      <c r="C17" s="5" t="inlineStr">
        <is>
          <t>Counts non-empty cells</t>
        </is>
      </c>
      <c r="D17" s="5">
        <f>COUNTA(A2:A10)</f>
        <v/>
      </c>
    </row>
    <row r="18">
      <c r="A18" s="5" t="inlineStr">
        <is>
          <t>MIN</t>
        </is>
      </c>
      <c r="B18" s="5">
        <f>MIN(range)</f>
        <v/>
      </c>
      <c r="C18" s="5" t="inlineStr">
        <is>
          <t>Finds smallest number</t>
        </is>
      </c>
      <c r="D18" s="5">
        <f>MIN(B2:B10)</f>
        <v/>
      </c>
    </row>
    <row r="19">
      <c r="A19" s="5" t="inlineStr">
        <is>
          <t>MAX</t>
        </is>
      </c>
      <c r="B19" s="5">
        <f>MAX(range)</f>
        <v/>
      </c>
      <c r="C19" s="5" t="inlineStr">
        <is>
          <t>Finds largest number</t>
        </is>
      </c>
      <c r="D19" s="5">
        <f>MAX(B2:B10)</f>
        <v/>
      </c>
    </row>
    <row r="20">
      <c r="A20" s="5" t="inlineStr">
        <is>
          <t>ROUND</t>
        </is>
      </c>
      <c r="B20" s="5">
        <f>ROUND(number, decimals)</f>
        <v/>
      </c>
      <c r="C20" s="5" t="inlineStr">
        <is>
          <t>Rounds to N decimal places</t>
        </is>
      </c>
      <c r="D20" s="5">
        <f>ROUND(B2, 2)</f>
        <v/>
      </c>
    </row>
    <row r="22">
      <c r="A22" s="3" t="inlineStr">
        <is>
          <t>KEY CONCEPTS FOR BEGINNERS</t>
        </is>
      </c>
    </row>
    <row r="23">
      <c r="A23" s="6" t="inlineStr">
        <is>
          <t>ABSOLUTE vs RELATIVE REFERENCES</t>
        </is>
      </c>
    </row>
    <row r="24" ht="30" customHeight="1">
      <c r="A24" s="7" t="inlineStr">
        <is>
          <t>When you see $A$1 vs A1, the $ signs lock the cell position. Use $A$1 when you want the reference to NOT change when copying the formula.</t>
        </is>
      </c>
    </row>
    <row r="25">
      <c r="A25" s="6" t="inlineStr">
        <is>
          <t>FORMULA ERRORS</t>
        </is>
      </c>
    </row>
    <row r="26" ht="30" customHeight="1">
      <c r="A26" s="7" t="inlineStr">
        <is>
          <t>#VALUE! = wrong data type | #REF! = cell reference deleted | #DIV/0! = dividing by zero</t>
        </is>
      </c>
    </row>
    <row r="27">
      <c r="A27" s="6" t="inlineStr">
        <is>
          <t>KEYBOARD SHORTCUTS</t>
        </is>
      </c>
    </row>
    <row r="28" ht="30" customHeight="1">
      <c r="A28" s="7" t="inlineStr">
        <is>
          <t>Ctrl+` toggles formula view | F2 to edit cell | Ctrl+Shift+Enter for array formulas</t>
        </is>
      </c>
    </row>
    <row r="29">
      <c r="A29" s="6" t="inlineStr">
        <is>
          <t>BEST PRACTICE</t>
        </is>
      </c>
    </row>
    <row r="30" ht="30" customHeight="1">
      <c r="A30" s="7" t="inlineStr">
        <is>
          <t>Always include headers in your data. Use named ranges for complex formulas. Test with a small sample first.</t>
        </is>
      </c>
    </row>
    <row r="32">
      <c r="A32" s="8" t="inlineStr">
        <is>
          <t>COMMON MISTAKES TO AVOID</t>
        </is>
      </c>
    </row>
    <row r="33">
      <c r="A33" s="4" t="inlineStr">
        <is>
          <t>❌ Forgetting the = sign at the beginning of a formula</t>
        </is>
      </c>
    </row>
    <row r="34">
      <c r="A34" s="4" t="inlineStr">
        <is>
          <t>❌ Including the header row in your formula range (use B2:B10, not B1:B10)</t>
        </is>
      </c>
    </row>
    <row r="35">
      <c r="A35" s="4" t="inlineStr">
        <is>
          <t>❌ Using commas in large numbers (write 1000, not 1,000)</t>
        </is>
      </c>
    </row>
    <row r="36">
      <c r="A36" s="4" t="inlineStr">
        <is>
          <t>❌ Mixing text and numbers in the same column</t>
        </is>
      </c>
    </row>
    <row r="37">
      <c r="A37" s="4" t="inlineStr">
        <is>
          <t>❌ Not checking if cells contain spaces or hidden characters</t>
        </is>
      </c>
    </row>
  </sheetData>
  <mergeCells count="25">
    <mergeCell ref="A37:F37"/>
    <mergeCell ref="A27:F27"/>
    <mergeCell ref="A12:F12"/>
    <mergeCell ref="A26:F26"/>
    <mergeCell ref="A2:F2"/>
    <mergeCell ref="A33:F33"/>
    <mergeCell ref="A5:F5"/>
    <mergeCell ref="A23:F23"/>
    <mergeCell ref="A32:F32"/>
    <mergeCell ref="A8:F8"/>
    <mergeCell ref="A22:F22"/>
    <mergeCell ref="A35:F35"/>
    <mergeCell ref="A4:F4"/>
    <mergeCell ref="A29:F29"/>
    <mergeCell ref="A10:F10"/>
    <mergeCell ref="A28:F28"/>
    <mergeCell ref="A9:F9"/>
    <mergeCell ref="A34:F34"/>
    <mergeCell ref="A30:F30"/>
    <mergeCell ref="A24:F24"/>
    <mergeCell ref="A36:F36"/>
    <mergeCell ref="A1:F1"/>
    <mergeCell ref="A6:F6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5" customHeight="1">
      <c r="A1" s="1" t="inlineStr">
        <is>
          <t>10 REAL-WORLD PRACTICE EXERCISES</t>
        </is>
      </c>
    </row>
    <row r="3">
      <c r="A3" s="9" t="inlineStr">
        <is>
          <t>EXERCISE 1: Sales Total (SUM)</t>
        </is>
      </c>
    </row>
    <row r="4">
      <c r="A4" s="10" t="inlineStr">
        <is>
          <t>Task: Calculate the total sales revenue from the transaction list below.</t>
        </is>
      </c>
    </row>
    <row r="6">
      <c r="A6" s="11" t="inlineStr">
        <is>
          <t>Product</t>
        </is>
      </c>
      <c r="B6" s="11" t="inlineStr">
        <is>
          <t>Quantity</t>
        </is>
      </c>
      <c r="C6" s="11" t="inlineStr">
        <is>
          <t>Unit Price</t>
        </is>
      </c>
      <c r="D6" s="11" t="inlineStr">
        <is>
          <t>Total Sale</t>
        </is>
      </c>
    </row>
    <row r="7">
      <c r="A7" s="12" t="inlineStr">
        <is>
          <t>Laptop</t>
        </is>
      </c>
      <c r="B7" s="12" t="n">
        <v>5</v>
      </c>
      <c r="C7" s="12" t="n">
        <v>1299</v>
      </c>
      <c r="D7" s="13">
        <f>B7*C7</f>
        <v/>
      </c>
    </row>
    <row r="8">
      <c r="A8" s="12" t="inlineStr">
        <is>
          <t>Monitor</t>
        </is>
      </c>
      <c r="B8" s="12" t="n">
        <v>8</v>
      </c>
      <c r="C8" s="12" t="n">
        <v>299</v>
      </c>
      <c r="D8" s="13">
        <f>B8*C8</f>
        <v/>
      </c>
    </row>
    <row r="9">
      <c r="A9" s="12" t="inlineStr">
        <is>
          <t>Mouse</t>
        </is>
      </c>
      <c r="B9" s="12" t="n">
        <v>25</v>
      </c>
      <c r="C9" s="12" t="n">
        <v>45</v>
      </c>
      <c r="D9" s="13">
        <f>B9*C9</f>
        <v/>
      </c>
    </row>
    <row r="10">
      <c r="A10" s="12" t="inlineStr">
        <is>
          <t>Keyboard</t>
        </is>
      </c>
      <c r="B10" s="12" t="n">
        <v>15</v>
      </c>
      <c r="C10" s="12" t="n">
        <v>89</v>
      </c>
      <c r="D10" s="13">
        <f>B10*C10</f>
        <v/>
      </c>
    </row>
    <row r="11">
      <c r="A11" s="12" t="inlineStr">
        <is>
          <t>Webcam</t>
        </is>
      </c>
      <c r="B11" s="12" t="n">
        <v>12</v>
      </c>
      <c r="C11" s="12" t="n">
        <v>65</v>
      </c>
      <c r="D11" s="13">
        <f>B11*C11</f>
        <v/>
      </c>
    </row>
    <row r="12">
      <c r="A12" s="14" t="inlineStr">
        <is>
          <t>TOTAL REVENUE</t>
        </is>
      </c>
      <c r="D12" s="15">
        <f>SUM(D7:D11)</f>
        <v/>
      </c>
    </row>
    <row r="14">
      <c r="A14" s="16" t="inlineStr">
        <is>
          <t>💡 HINT: Use =SUM(D7:D11) to add all the Total Sale values. The result should be around $5,680</t>
        </is>
      </c>
    </row>
    <row r="16">
      <c r="A16" s="9" t="inlineStr">
        <is>
          <t>EXERCISE 2: Average Sale Value (AVERAGE)</t>
        </is>
      </c>
    </row>
    <row r="17">
      <c r="A17" s="10" t="inlineStr">
        <is>
          <t>Task: Calculate the average transaction value from Exercise 1 data.</t>
        </is>
      </c>
    </row>
    <row r="19">
      <c r="A19" s="17" t="inlineStr">
        <is>
          <t>Average Transaction Value:</t>
        </is>
      </c>
      <c r="C19" s="18">
        <f>AVERAGE(D7:D11)</f>
        <v/>
      </c>
    </row>
    <row r="20">
      <c r="A20" s="16" t="inlineStr">
        <is>
          <t>💡 HINT: Use =AVERAGE(D7:D11) to find the mean of all Total Sale values.</t>
        </is>
      </c>
    </row>
    <row r="22">
      <c r="A22" s="9" t="inlineStr">
        <is>
          <t>EXERCISE 3: Count Transactions (COUNT)</t>
        </is>
      </c>
    </row>
    <row r="23">
      <c r="A23" s="10" t="inlineStr">
        <is>
          <t>Task: Count how many transactions were made in the data above.</t>
        </is>
      </c>
    </row>
    <row r="25">
      <c r="A25" s="17" t="inlineStr">
        <is>
          <t>Number of Transactions:</t>
        </is>
      </c>
      <c r="C25" s="19">
        <f>COUNT(D7:D11)</f>
        <v/>
      </c>
    </row>
    <row r="26">
      <c r="A26" s="16" t="inlineStr">
        <is>
          <t>💡 HINT: Use =COUNT(D7:D11) to count cells with numbers. Should return 5.</t>
        </is>
      </c>
    </row>
    <row r="28">
      <c r="A28" s="9" t="inlineStr">
        <is>
          <t>EXERCISE 4: Min &amp; Max Values (MIN, MAX)</t>
        </is>
      </c>
    </row>
    <row r="29">
      <c r="A29" s="10" t="inlineStr">
        <is>
          <t>Task: Find the smallest and largest transaction amounts.</t>
        </is>
      </c>
    </row>
    <row r="31">
      <c r="A31" s="17" t="inlineStr">
        <is>
          <t>Minimum Sale:</t>
        </is>
      </c>
      <c r="C31" s="18">
        <f>MIN(D7:D11)</f>
        <v/>
      </c>
    </row>
    <row r="32">
      <c r="A32" s="17" t="inlineStr">
        <is>
          <t>Maximum Sale:</t>
        </is>
      </c>
      <c r="C32" s="18">
        <f>MAX(D7:D11)</f>
        <v/>
      </c>
    </row>
    <row r="33">
      <c r="A33" s="16" t="inlineStr">
        <is>
          <t>💡 HINT: MIN finds the smallest value, MAX finds the largest. Use same range D7:D11.</t>
        </is>
      </c>
    </row>
    <row r="35">
      <c r="A35" s="9" t="inlineStr">
        <is>
          <t>EXERCISE 5: Rounding Numbers (ROUND)</t>
        </is>
      </c>
    </row>
    <row r="36">
      <c r="A36" s="10" t="inlineStr">
        <is>
          <t>Task: Round the average transaction value to 2 decimal places.</t>
        </is>
      </c>
    </row>
    <row r="38">
      <c r="A38" t="inlineStr">
        <is>
          <t>Original Average:</t>
        </is>
      </c>
      <c r="C38" s="18">
        <f>AVERAGE(D7:D11)</f>
        <v/>
      </c>
    </row>
    <row r="39">
      <c r="A39" t="inlineStr">
        <is>
          <t>Rounded to 2 Decimals:</t>
        </is>
      </c>
      <c r="C39" s="18">
        <f>ROUND(AVERAGE(D7:D11), 2)</f>
        <v/>
      </c>
    </row>
    <row r="40">
      <c r="A40" s="16" t="inlineStr">
        <is>
          <t>💡 HINT: ROUND takes two arguments: the number and decimal places. =ROUND(D15, 2)</t>
        </is>
      </c>
    </row>
    <row r="42">
      <c r="A42" s="9" t="inlineStr">
        <is>
          <t>EXERCISE 6: Absolute References (Understanding $A$1)</t>
        </is>
      </c>
    </row>
    <row r="43">
      <c r="A43" s="10" t="inlineStr">
        <is>
          <t>Task: Apply a tax rate (stored in one cell) to multiple sales amounts using absolute reference.</t>
        </is>
      </c>
    </row>
    <row r="45">
      <c r="A45" t="inlineStr">
        <is>
          <t>Tax Rate:</t>
        </is>
      </c>
      <c r="B45" s="20" t="n">
        <v>0.08</v>
      </c>
    </row>
    <row r="47">
      <c r="A47" s="21" t="inlineStr">
        <is>
          <t>Item</t>
        </is>
      </c>
      <c r="B47" s="21" t="inlineStr">
        <is>
          <t>Sale Amount</t>
        </is>
      </c>
      <c r="C47" s="21" t="inlineStr">
        <is>
          <t>Tax (8%)</t>
        </is>
      </c>
      <c r="D47" s="21" t="inlineStr">
        <is>
          <t>Total with Tax</t>
        </is>
      </c>
    </row>
    <row r="48">
      <c r="A48" s="19" t="inlineStr">
        <is>
          <t>Product A</t>
        </is>
      </c>
      <c r="B48" s="18" t="n">
        <v>100</v>
      </c>
      <c r="C48" s="18">
        <f>B48*$B$67</f>
        <v/>
      </c>
      <c r="D48" s="18">
        <f>B48+C48</f>
        <v/>
      </c>
    </row>
    <row r="49">
      <c r="A49" s="19" t="inlineStr">
        <is>
          <t>Product B</t>
        </is>
      </c>
      <c r="B49" s="18" t="n">
        <v>250</v>
      </c>
      <c r="C49" s="18">
        <f>B49*$B$67</f>
        <v/>
      </c>
      <c r="D49" s="18">
        <f>B49+C49</f>
        <v/>
      </c>
    </row>
    <row r="50">
      <c r="A50" s="19" t="inlineStr">
        <is>
          <t>Product C</t>
        </is>
      </c>
      <c r="B50" s="18" t="n">
        <v>75</v>
      </c>
      <c r="C50" s="18">
        <f>B50*$B$67</f>
        <v/>
      </c>
      <c r="D50" s="18">
        <f>B50+C50</f>
        <v/>
      </c>
    </row>
    <row r="52">
      <c r="A52" s="16" t="inlineStr">
        <is>
          <t>💡 HINT: Use =B{row}*$B$67 to lock the tax rate. When you copy down, $B$67 stays fixed but B{row} changes to B{next_row}.</t>
        </is>
      </c>
    </row>
    <row r="54">
      <c r="A54" s="9" t="inlineStr">
        <is>
          <t>EXERCISE 7: Count Specific Items (Introduction to COUNTIF)</t>
        </is>
      </c>
    </row>
    <row r="55">
      <c r="A55" s="10" t="inlineStr">
        <is>
          <t>Task: Count how many 'Laptop' sales were made in the Exercise 1 data.</t>
        </is>
      </c>
    </row>
    <row r="57">
      <c r="A57" s="17" t="inlineStr">
        <is>
          <t>Number of Laptop Sales:</t>
        </is>
      </c>
      <c r="C57" s="19">
        <f>COUNTIF(A7:A11,"Laptop")</f>
        <v/>
      </c>
    </row>
    <row r="58">
      <c r="A58" s="16" t="inlineStr">
        <is>
          <t>💡 HINT: COUNTIF counts cells that match a criteria. Syntax: =COUNTIF(range, criteria). Should return 1.</t>
        </is>
      </c>
    </row>
    <row r="60">
      <c r="A60" s="9" t="inlineStr">
        <is>
          <t>EXERCISE 8: Sum by Condition (SUMIF)</t>
        </is>
      </c>
    </row>
    <row r="61">
      <c r="A61" s="10" t="inlineStr">
        <is>
          <t>Task: Calculate total revenue from Monitor sales only.</t>
        </is>
      </c>
    </row>
    <row r="63">
      <c r="A63" s="17" t="inlineStr">
        <is>
          <t>Total Monitor Revenue:</t>
        </is>
      </c>
      <c r="C63" s="18">
        <f>SUMIF(A7:A11,"Monitor",D7:D11)</f>
        <v/>
      </c>
    </row>
    <row r="64">
      <c r="A64" s="16" t="inlineStr">
        <is>
          <t>💡 HINT: SUMIF adds values from one range based on criteria from another. Syntax: =SUMIF(criteria_range, criteria, sum_range).</t>
        </is>
      </c>
    </row>
    <row r="66">
      <c r="A66" s="9" t="inlineStr">
        <is>
          <t>EXERCISE 9: Profit Margin Calculation (Complex Formula)</t>
        </is>
      </c>
    </row>
    <row r="67">
      <c r="A67" s="10" t="inlineStr">
        <is>
          <t>Task: Calculate profit margin percentage: (Revenue - Cost) / Revenue * 100</t>
        </is>
      </c>
    </row>
    <row r="69">
      <c r="A69" s="21" t="inlineStr">
        <is>
          <t>Product</t>
        </is>
      </c>
      <c r="B69" s="21" t="inlineStr">
        <is>
          <t>Revenue</t>
        </is>
      </c>
      <c r="C69" s="21" t="inlineStr">
        <is>
          <t>Cost</t>
        </is>
      </c>
      <c r="D69" s="21" t="inlineStr">
        <is>
          <t>Profit Margin %</t>
        </is>
      </c>
    </row>
    <row r="70">
      <c r="A70" s="19" t="inlineStr">
        <is>
          <t>Laptop</t>
        </is>
      </c>
      <c r="B70" s="18" t="n">
        <v>1299</v>
      </c>
      <c r="C70" s="18" t="n">
        <v>800</v>
      </c>
      <c r="D70" s="22">
        <f>ROUND((B70-C70)/B70*100, 2)</f>
        <v/>
      </c>
    </row>
    <row r="71">
      <c r="A71" s="19" t="inlineStr">
        <is>
          <t>Mouse</t>
        </is>
      </c>
      <c r="B71" s="18" t="n">
        <v>45</v>
      </c>
      <c r="C71" s="18" t="n">
        <v>15</v>
      </c>
      <c r="D71" s="22">
        <f>ROUND((B71-C71)/B71*100, 2)</f>
        <v/>
      </c>
    </row>
    <row r="72">
      <c r="A72" s="19" t="inlineStr">
        <is>
          <t>Monitor</t>
        </is>
      </c>
      <c r="B72" s="18" t="n">
        <v>299</v>
      </c>
      <c r="C72" s="18" t="n">
        <v>150</v>
      </c>
      <c r="D72" s="22">
        <f>ROUND((B72-C72)/B72*100, 2)</f>
        <v/>
      </c>
    </row>
    <row r="74">
      <c r="A74" s="16" t="inlineStr">
        <is>
          <t>💡 HINT: Combine multiple functions. =(B{row}-C{row})/B{row}*100 gives margin, ROUND to 2 decimals.</t>
        </is>
      </c>
    </row>
    <row r="76">
      <c r="A76" s="9" t="inlineStr">
        <is>
          <t>EXERCISE 10: Department Salary Analysis (SUMIF + Multiple Functions)</t>
        </is>
      </c>
    </row>
    <row r="77">
      <c r="A77" s="10" t="inlineStr">
        <is>
          <t>Task: Analyze salaries by department - calculate total, count, and average for Sales department.</t>
        </is>
      </c>
    </row>
    <row r="79">
      <c r="A79" s="23" t="inlineStr">
        <is>
          <t>Employee ID</t>
        </is>
      </c>
      <c r="B79" s="23" t="inlineStr">
        <is>
          <t>Name</t>
        </is>
      </c>
      <c r="C79" s="23" t="inlineStr">
        <is>
          <t>Department</t>
        </is>
      </c>
      <c r="D79" s="23" t="inlineStr">
        <is>
          <t>Salary</t>
        </is>
      </c>
    </row>
    <row r="80">
      <c r="A80" s="19" t="n">
        <v>1000</v>
      </c>
      <c r="B80" s="19" t="inlineStr">
        <is>
          <t>John Smith</t>
        </is>
      </c>
      <c r="C80" s="19" t="inlineStr">
        <is>
          <t>Sales</t>
        </is>
      </c>
      <c r="D80" s="24" t="n">
        <v>55000</v>
      </c>
    </row>
    <row r="81">
      <c r="A81" s="19" t="n">
        <v>1001</v>
      </c>
      <c r="B81" s="19" t="inlineStr">
        <is>
          <t>Sarah Johnson</t>
        </is>
      </c>
      <c r="C81" s="19" t="inlineStr">
        <is>
          <t>Finance</t>
        </is>
      </c>
      <c r="D81" s="24" t="n">
        <v>85000</v>
      </c>
    </row>
    <row r="82">
      <c r="A82" s="19" t="n">
        <v>1002</v>
      </c>
      <c r="B82" s="19" t="inlineStr">
        <is>
          <t>Mike Brown</t>
        </is>
      </c>
      <c r="C82" s="19" t="inlineStr">
        <is>
          <t>Sales</t>
        </is>
      </c>
      <c r="D82" s="24" t="n">
        <v>52000</v>
      </c>
    </row>
    <row r="83">
      <c r="A83" s="19" t="n">
        <v>1003</v>
      </c>
      <c r="B83" s="19" t="inlineStr">
        <is>
          <t>Lisa Davis</t>
        </is>
      </c>
      <c r="C83" s="19" t="inlineStr">
        <is>
          <t>HR</t>
        </is>
      </c>
      <c r="D83" s="24" t="n">
        <v>65000</v>
      </c>
    </row>
    <row r="84">
      <c r="A84" s="19" t="n">
        <v>1004</v>
      </c>
      <c r="B84" s="19" t="inlineStr">
        <is>
          <t>David Miller</t>
        </is>
      </c>
      <c r="C84" s="19" t="inlineStr">
        <is>
          <t>Sales</t>
        </is>
      </c>
      <c r="D84" s="24" t="n">
        <v>58000</v>
      </c>
    </row>
    <row r="87">
      <c r="A87" s="25" t="inlineStr">
        <is>
          <t>ANALYSIS FOR SALES DEPARTMENT:</t>
        </is>
      </c>
    </row>
    <row r="88">
      <c r="A88" t="inlineStr">
        <is>
          <t>Total Sales Department Salary:</t>
        </is>
      </c>
      <c r="C88" s="24">
        <f>SUMIF(C80:C84,"Sales",D80:D84)</f>
        <v/>
      </c>
    </row>
    <row r="89">
      <c r="A89" t="inlineStr">
        <is>
          <t>Count of Sales Employees:</t>
        </is>
      </c>
      <c r="C89" s="19">
        <f>COUNTIF(C80:C84,"Sales")</f>
        <v/>
      </c>
    </row>
    <row r="90">
      <c r="A90" t="inlineStr">
        <is>
          <t>Average Sales Salary:</t>
        </is>
      </c>
      <c r="C90" s="24">
        <f>ROUND(SUMIF(C80:C84,"Sales",D80:D84)/COUNTIF(C80:C84,"Sales"), 2)</f>
        <v/>
      </c>
    </row>
    <row r="91">
      <c r="A91" s="16" t="inlineStr">
        <is>
          <t>💡 HINT: Combine SUMIF and COUNTIF to calculate average for a specific group. Divide total by count.</t>
        </is>
      </c>
    </row>
  </sheetData>
  <mergeCells count="31">
    <mergeCell ref="A67:H67"/>
    <mergeCell ref="A77:H77"/>
    <mergeCell ref="A64:H64"/>
    <mergeCell ref="A60:H60"/>
    <mergeCell ref="A36:H36"/>
    <mergeCell ref="A1:H1"/>
    <mergeCell ref="A61:H61"/>
    <mergeCell ref="A16:H16"/>
    <mergeCell ref="A54:H54"/>
    <mergeCell ref="A66:H66"/>
    <mergeCell ref="A74:H74"/>
    <mergeCell ref="A3:H3"/>
    <mergeCell ref="A26:H26"/>
    <mergeCell ref="A55:H55"/>
    <mergeCell ref="A42:H42"/>
    <mergeCell ref="A76:H76"/>
    <mergeCell ref="A33:H33"/>
    <mergeCell ref="A14:H14"/>
    <mergeCell ref="A23:H23"/>
    <mergeCell ref="A22:H22"/>
    <mergeCell ref="A17:H17"/>
    <mergeCell ref="A4:H4"/>
    <mergeCell ref="A91:H91"/>
    <mergeCell ref="A29:H29"/>
    <mergeCell ref="A35:H35"/>
    <mergeCell ref="A20:H20"/>
    <mergeCell ref="A43:H43"/>
    <mergeCell ref="A52:H52"/>
    <mergeCell ref="A28:H28"/>
    <mergeCell ref="A58:H58"/>
    <mergeCell ref="A40:H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5" customHeight="1">
      <c r="A1" s="1" t="inlineStr">
        <is>
          <t>COMPLETE SOLUTIONS &amp; EXPLANATIONS</t>
        </is>
      </c>
    </row>
    <row r="3">
      <c r="A3" s="26" t="inlineStr">
        <is>
          <t>SOLUTION 1: Sales Total (SUM)</t>
        </is>
      </c>
    </row>
    <row r="4">
      <c r="A4" s="17" t="inlineStr">
        <is>
          <t>Formula:</t>
        </is>
      </c>
      <c r="B4" s="27">
        <f>SUM(D7:D11)</f>
        <v/>
      </c>
    </row>
    <row r="5">
      <c r="A5" s="17" t="inlineStr">
        <is>
          <t>Result:</t>
        </is>
      </c>
      <c r="B5" s="28" t="n">
        <v>5680</v>
      </c>
    </row>
    <row r="6">
      <c r="A6" s="29" t="inlineStr">
        <is>
          <t>Explanation:</t>
        </is>
      </c>
    </row>
    <row r="7" ht="30" customHeight="1">
      <c r="A7" s="30" t="inlineStr">
        <is>
          <t>The SUM function adds all values in the range D7:D11. In this case: 6,495 + 2,392 + 1,125 + 1,335 + 780 = 11,727 (approximately, values vary). This is the total revenue generated from all transactions.</t>
        </is>
      </c>
    </row>
    <row r="8">
      <c r="A8" s="29" t="inlineStr">
        <is>
          <t>Teacher's Comments:</t>
        </is>
      </c>
    </row>
    <row r="9" ht="50" customHeight="1">
      <c r="A9" s="30" t="inlineStr">
        <is>
          <t>• SUM is the most common function in Excel. It ignores text and empty cells automatically.
• Always double-check your range (D7:D11 includes 5 rows). If you miss a row, your total will be wrong.
• Shortcut: Click on cell D12 and press Alt+= to auto-insert SUM.
• Common mistake: Writing =SUM(D6:D11) would include the header 'Total Sale' which causes #VALUE! error.</t>
        </is>
      </c>
    </row>
    <row r="11">
      <c r="A11" s="26" t="inlineStr">
        <is>
          <t>SOLUTION 2: Average Sale Value (AVERAGE)</t>
        </is>
      </c>
    </row>
    <row r="12">
      <c r="A12" s="17" t="inlineStr">
        <is>
          <t>Formula:</t>
        </is>
      </c>
      <c r="B12" s="27">
        <f>AVERAGE(D7:D11)</f>
        <v/>
      </c>
    </row>
    <row r="13">
      <c r="A13" s="17" t="inlineStr">
        <is>
          <t>Result:</t>
        </is>
      </c>
      <c r="B13" s="28" t="n">
        <v>1136</v>
      </c>
    </row>
    <row r="14">
      <c r="A14" s="29" t="inlineStr">
        <is>
          <t>Explanation:</t>
        </is>
      </c>
    </row>
    <row r="15" ht="30" customHeight="1">
      <c r="A15" s="30" t="inlineStr">
        <is>
          <t>AVERAGE calculates the mean of the values. It sums all values (11,727) and divides by the count (5 transactions) = $2,345.40 average. This tells us the typical sale value.</t>
        </is>
      </c>
    </row>
    <row r="16">
      <c r="A16" s="29" t="inlineStr">
        <is>
          <t>Teacher's Comments:</t>
        </is>
      </c>
    </row>
    <row r="17" ht="50" customHeight="1">
      <c r="A17" s="30" t="inlineStr">
        <is>
          <t>• AVERAGE automatically ignores text and empty cells (but counts blank cells in AVERAGEIF).
• Difference: AVERAGE(D7:D11) vs AVERAGE(D7, D9, D11) - both work, but ranges are cleaner.
• Watch out: AVERAGE of [100, 200, ERROR] will return #VALUE! error (doesn't ignore errors).
• Alternative: You can calculate manually = SUM(D7:D11)/COUNT(D7:D11) for the same result.</t>
        </is>
      </c>
    </row>
    <row r="19">
      <c r="A19" s="26" t="inlineStr">
        <is>
          <t>SOLUTION 3: Count Transactions (COUNT)</t>
        </is>
      </c>
    </row>
    <row r="20">
      <c r="A20" s="17" t="inlineStr">
        <is>
          <t>Formula:</t>
        </is>
      </c>
      <c r="B20" s="27">
        <f>COUNT(D7:D11)</f>
        <v/>
      </c>
    </row>
    <row r="21">
      <c r="A21" s="17" t="inlineStr">
        <is>
          <t>Result:</t>
        </is>
      </c>
      <c r="B21" s="31" t="n">
        <v>5</v>
      </c>
    </row>
    <row r="22">
      <c r="A22" s="29" t="inlineStr">
        <is>
          <t>Explanation:</t>
        </is>
      </c>
    </row>
    <row r="23" ht="30" customHeight="1">
      <c r="A23" s="30" t="inlineStr">
        <is>
          <t>COUNT returns the number of cells containing numeric values. In range D7:D11, all 5 cells have numbers (the calculated totals), so it returns 5. COUNT ignores text and empty cells.</t>
        </is>
      </c>
    </row>
    <row r="24">
      <c r="A24" s="29" t="inlineStr">
        <is>
          <t>Teacher's Comments:</t>
        </is>
      </c>
    </row>
    <row r="25" ht="50" customHeight="1">
      <c r="A25" s="30" t="inlineStr">
        <is>
          <t>• COUNT only counts numeric values. COUNT(A7:A11) would return 0 because column A has product names (text).
• COUNTA counts any non-empty cell (text or numbers): COUNTA(A7:A11) = 5 for the 5 products.
• Key difference: COUNT for numbers, COUNTA for all data, COUNTBLANK for empty cells.
• Use COUNT to verify data integrity - if you expect 10 rows and COUNT returns 9, you have a missing value.</t>
        </is>
      </c>
    </row>
    <row r="27">
      <c r="A27" s="26" t="inlineStr">
        <is>
          <t>SOLUTION 4: Min &amp; Max Values</t>
        </is>
      </c>
    </row>
    <row r="28">
      <c r="A28" s="17" t="inlineStr">
        <is>
          <t>Formula (MIN):</t>
        </is>
      </c>
      <c r="B28" s="27">
        <f>MIN(D7:D11)</f>
        <v/>
      </c>
    </row>
    <row r="29">
      <c r="A29" s="17" t="inlineStr">
        <is>
          <t>Result (MIN):</t>
        </is>
      </c>
      <c r="B29" s="28" t="n">
        <v>780</v>
      </c>
    </row>
    <row r="30">
      <c r="A30" s="17" t="inlineStr">
        <is>
          <t>Formula (MAX):</t>
        </is>
      </c>
      <c r="B30" s="27">
        <f>MAX(D7:D11)</f>
        <v/>
      </c>
    </row>
    <row r="31">
      <c r="A31" s="17" t="inlineStr">
        <is>
          <t>Result (MAX):</t>
        </is>
      </c>
      <c r="B31" s="28" t="n">
        <v>6495</v>
      </c>
    </row>
    <row r="32">
      <c r="A32" s="29" t="inlineStr">
        <is>
          <t>Explanation:</t>
        </is>
      </c>
    </row>
    <row r="33" ht="30" customHeight="1">
      <c r="A33" s="30" t="inlineStr">
        <is>
          <t>MIN finds the smallest value (Webcam sales: $780) and MAX finds the largest (Laptop sales: $6,495). These functions identify outliers and understand your data range.</t>
        </is>
      </c>
    </row>
    <row r="34">
      <c r="A34" s="29" t="inlineStr">
        <is>
          <t>Teacher's Comments:</t>
        </is>
      </c>
    </row>
    <row r="35" ht="40" customHeight="1">
      <c r="A35" s="30" t="inlineStr">
        <is>
          <t>• MIN and MAX are useful for identifying extremes in your data.
• Real scenario: A manager wants to know the highest-performing sale (MAX) and lowest-performing (MIN).
• Combined: =MAX(D7:D11)-MIN(D7:D11) gives you the range (spread) of values.
• Both functions ignore text and empty cells automatically.</t>
        </is>
      </c>
    </row>
    <row r="37">
      <c r="A37" s="26" t="inlineStr">
        <is>
          <t>SOLUTION 5: Rounding Numbers (ROUND)</t>
        </is>
      </c>
    </row>
    <row r="38">
      <c r="A38" s="17" t="inlineStr">
        <is>
          <t>Formula:</t>
        </is>
      </c>
      <c r="B38" s="27">
        <f>ROUND(AVERAGE(D7:D11), 2)</f>
        <v/>
      </c>
    </row>
    <row r="39">
      <c r="A39" s="17" t="inlineStr">
        <is>
          <t>Result:</t>
        </is>
      </c>
      <c r="B39" s="28" t="n">
        <v>2345.4</v>
      </c>
    </row>
    <row r="40">
      <c r="A40" s="29" t="inlineStr">
        <is>
          <t>Explanation:</t>
        </is>
      </c>
    </row>
    <row r="41" ht="30" customHeight="1">
      <c r="A41" s="30" t="inlineStr">
        <is>
          <t>ROUND takes two parameters: (1) the value to round and (2) number of decimal places. ROUND(2345.3999, 2) = 2345.40. This ensures consistent formatting for financial data.</t>
        </is>
      </c>
    </row>
    <row r="42">
      <c r="A42" s="29" t="inlineStr">
        <is>
          <t>Teacher's Comments:</t>
        </is>
      </c>
    </row>
    <row r="43" ht="50" customHeight="1">
      <c r="A43" s="30" t="inlineStr">
        <is>
          <t>• ROUND with 2 decimals is standard for currency: ROUND(value, 2).
• ROUND(1234.5678, 0) = 1235 (rounds to nearest integer).
• Common mistake: Using cell formatting to hide decimals is NOT the same as ROUND. Format only changes display; ROUND actually changes the value.
• ROUNDUP(1234.5, 0) = 1235, ROUNDDOWN(1234.5, 0) = 1234 for more control.
• For negative decimals: ROUND(1234.5678, -2) = 1200 (rounds to nearest hundred).</t>
        </is>
      </c>
    </row>
    <row r="45">
      <c r="A45" s="26" t="inlineStr">
        <is>
          <t>SOLUTION 6: Absolute References ($A$1 vs A1)</t>
        </is>
      </c>
    </row>
    <row r="46">
      <c r="A46" s="17" t="inlineStr">
        <is>
          <t>Formula:</t>
        </is>
      </c>
      <c r="B46" s="27">
        <f>B{row}*$B$67</f>
        <v/>
      </c>
    </row>
    <row r="47">
      <c r="A47" s="29" t="inlineStr">
        <is>
          <t>Explanation:</t>
        </is>
      </c>
    </row>
    <row r="48" ht="30" customHeight="1">
      <c r="A48" s="30" t="inlineStr">
        <is>
          <t>The $ signs lock a cell reference so it doesn't change when copied. $B$67 always refers to B67 (the tax rate). B{row} changes to B70, B71, etc. as you copy down. This applies one tax rate to multiple amounts.</t>
        </is>
      </c>
    </row>
    <row r="49">
      <c r="A49" s="29" t="inlineStr">
        <is>
          <t>Teacher's Comments:</t>
        </is>
      </c>
    </row>
    <row r="50" ht="50" customHeight="1">
      <c r="A50" s="30" t="inlineStr">
        <is>
          <t>• Three types: Relative (A1), Absolute ($A$1), Mixed ($A1 or A$1).
• Keyboard shortcut: F4 toggles between types. Type formula, press F4 repeatedly to cycle.
• Real scenario: Apply tax rate, discount, or exchange rate to multiple rows without retyping.
• Without $: Formula =B70*B67 would look for tax rate in B68 (wrong!). The $ prevents this mistake.
• Mixed reference example: $A1 = lock column only, A$1 = lock row only.</t>
        </is>
      </c>
    </row>
    <row r="52">
      <c r="A52" s="26" t="inlineStr">
        <is>
          <t>SOLUTION 7: Count Specific Items (COUNTIF)</t>
        </is>
      </c>
    </row>
    <row r="53">
      <c r="A53" s="17" t="inlineStr">
        <is>
          <t>Formula:</t>
        </is>
      </c>
      <c r="B53" s="27">
        <f>COUNTIF(A7:A11,"Laptop")</f>
        <v/>
      </c>
    </row>
    <row r="54">
      <c r="A54" s="17" t="inlineStr">
        <is>
          <t>Result:</t>
        </is>
      </c>
      <c r="B54" s="31" t="n">
        <v>1</v>
      </c>
    </row>
    <row r="55">
      <c r="A55" s="29" t="inlineStr">
        <is>
          <t>Explanation:</t>
        </is>
      </c>
    </row>
    <row r="56" ht="30" customHeight="1">
      <c r="A56" s="30" t="inlineStr">
        <is>
          <t>COUNTIF counts cells matching a criteria. It searches A7:A11 for cells containing exactly 'Laptop' and returns the count. Only 1 Laptop was sold in this dataset.</t>
        </is>
      </c>
    </row>
    <row r="57">
      <c r="A57" s="29" t="inlineStr">
        <is>
          <t>Teacher's Comments:</t>
        </is>
      </c>
    </row>
    <row r="58" ht="50" customHeight="1">
      <c r="A58" s="30" t="inlineStr">
        <is>
          <t>• Syntax: COUNTIF(range, criteria). Criteria can be: exact text, numbers, or wildcards.
• Wildcards: "L*" counts anything starting with L, "*top" counts anything ending with top.
• COUNTIF(A7:A11, "&lt;&gt;Laptop") counts items NOT equal to Laptop (negation).
• Real scenario: Count how many customers from each region, or how many orders over $5000.
• COUNTIFS: Use for multiple criteria (e.g., count Laptops in North region: =COUNTIFS(A7:A11, "Laptop", E7:E11, "North")).</t>
        </is>
      </c>
    </row>
    <row r="60">
      <c r="A60" s="26" t="inlineStr">
        <is>
          <t>SOLUTION 8: Sum by Condition (SUMIF)</t>
        </is>
      </c>
    </row>
    <row r="61">
      <c r="A61" s="17" t="inlineStr">
        <is>
          <t>Formula:</t>
        </is>
      </c>
      <c r="B61" s="27">
        <f>SUMIF(A7:A11,"Monitor",D7:D11)</f>
        <v/>
      </c>
    </row>
    <row r="62">
      <c r="A62" s="17" t="inlineStr">
        <is>
          <t>Result:</t>
        </is>
      </c>
      <c r="B62" s="28" t="n">
        <v>2392</v>
      </c>
    </row>
    <row r="63">
      <c r="A63" s="29" t="inlineStr">
        <is>
          <t>Explanation:</t>
        </is>
      </c>
    </row>
    <row r="64" ht="30" customHeight="1">
      <c r="A64" s="30" t="inlineStr">
        <is>
          <t>SUMIF checks criteria in one column (A7:A11 for 'Monitor') and sums values from another column (D7:D11). Only rows where column A = 'Monitor' are summed. This isolates Monitor revenue from total.</t>
        </is>
      </c>
    </row>
    <row r="65">
      <c r="A65" s="29" t="inlineStr">
        <is>
          <t>Teacher's Comments:</t>
        </is>
      </c>
    </row>
    <row r="66" ht="50" customHeight="1">
      <c r="A66" s="30" t="inlineStr">
        <is>
          <t>• Syntax: SUMIF(criteria_range, criteria, sum_range). Three parameters!
• Order matters: First range is where you check criteria, third range is what you sum.
• SUMIF(D7:D11, "&gt;1000") sums values greater than 1000 (no third parameter = sum the same range).
• SUMIFS: For multiple criteria (e.g., sum Monitor sales from North region).
• Real scenario: Sum sales by product, sum expenses by department, sum revenue by region.
• Common mistake: Forgetting to include sum_range or using wrong range order.</t>
        </is>
      </c>
    </row>
    <row r="68">
      <c r="A68" s="26" t="inlineStr">
        <is>
          <t>SOLUTION 9: Profit Margin Calculation</t>
        </is>
      </c>
    </row>
    <row r="69">
      <c r="A69" s="17" t="inlineStr">
        <is>
          <t>Formula:</t>
        </is>
      </c>
      <c r="B69" s="32">
        <f>ROUND((B{row}-C{row})/B{row}*100, 2)</f>
        <v/>
      </c>
    </row>
    <row r="70">
      <c r="A70" s="17" t="inlineStr">
        <is>
          <t>Result Examples:</t>
        </is>
      </c>
    </row>
    <row r="71">
      <c r="A71" s="23" t="inlineStr">
        <is>
          <t>Product</t>
        </is>
      </c>
      <c r="B71" s="23" t="inlineStr">
        <is>
          <t>Margin %</t>
        </is>
      </c>
    </row>
    <row r="72">
      <c r="A72" s="19" t="inlineStr">
        <is>
          <t>Laptop</t>
        </is>
      </c>
      <c r="B72" s="19" t="inlineStr">
        <is>
          <t>38.49%</t>
        </is>
      </c>
    </row>
    <row r="73">
      <c r="A73" s="19" t="inlineStr">
        <is>
          <t>Mouse</t>
        </is>
      </c>
      <c r="B73" s="19" t="inlineStr">
        <is>
          <t>66.67%</t>
        </is>
      </c>
    </row>
    <row r="74">
      <c r="A74" s="19" t="inlineStr">
        <is>
          <t>Monitor</t>
        </is>
      </c>
      <c r="B74" s="19" t="inlineStr">
        <is>
          <t>49.83%</t>
        </is>
      </c>
    </row>
    <row r="76">
      <c r="A76" s="29" t="inlineStr">
        <is>
          <t>Explanation:</t>
        </is>
      </c>
    </row>
    <row r="77" ht="30" customHeight="1">
      <c r="A77" s="30" t="inlineStr">
        <is>
          <t>Profit margin = (Revenue - Cost) / Revenue × 100%. For Laptop: (1299-800)/1299*100 = 38.49%. This shows what % of revenue is profit. Higher margin = more profitable product.</t>
        </is>
      </c>
    </row>
    <row r="78">
      <c r="A78" s="29" t="inlineStr">
        <is>
          <t>Teacher's Comments:</t>
        </is>
      </c>
    </row>
    <row r="79" ht="50" customHeight="1">
      <c r="A79" s="30" t="inlineStr">
        <is>
          <t>• This is a real KPI (Key Performance Indicator) used in business analysis daily.
• Breakdown: (B{row}-C{row}) = profit, divide by B{row} = % of revenue, multiply by 100 = percentage.
• ROUND to 2 decimals ensures clean financial reporting.
• Tip: Sort by margin % to find your most profitable products.
• Mouse has highest margin (66.67%) - sell more of these! Laptop has lowest (38.49%) - may need pricing strategy.
• Related: Markup % = (Revenue-Cost)/Cost*100 (different from margin).</t>
        </is>
      </c>
    </row>
    <row r="81">
      <c r="A81" s="26" t="inlineStr">
        <is>
          <t>SOLUTION 10: Department Salary Analysis</t>
        </is>
      </c>
    </row>
    <row r="82">
      <c r="A82" s="17" t="inlineStr">
        <is>
          <t>Formulas:</t>
        </is>
      </c>
    </row>
    <row r="83">
      <c r="A83" t="inlineStr">
        <is>
          <t>Total Sales Department Salary:</t>
        </is>
      </c>
      <c r="B83" s="33">
        <f>SUMIF(C..., "Sales", D...)</f>
        <v/>
      </c>
    </row>
    <row r="84">
      <c r="A84" t="inlineStr">
        <is>
          <t>Count of Sales Employees:</t>
        </is>
      </c>
      <c r="B84" s="33">
        <f>COUNTIF(C..., "Sales")</f>
        <v/>
      </c>
    </row>
    <row r="85">
      <c r="A85" t="inlineStr">
        <is>
          <t>Average Sales Salary:</t>
        </is>
      </c>
      <c r="B85" s="33">
        <f>SUMIF(.../COUNTIF(...)</f>
        <v/>
      </c>
    </row>
    <row r="87">
      <c r="A87" s="17" t="inlineStr">
        <is>
          <t>Results:</t>
        </is>
      </c>
    </row>
    <row r="88">
      <c r="A88" s="23" t="inlineStr">
        <is>
          <t>Metric</t>
        </is>
      </c>
      <c r="B88" s="23" t="inlineStr">
        <is>
          <t>Value</t>
        </is>
      </c>
    </row>
    <row r="89">
      <c r="A89" s="19" t="inlineStr">
        <is>
          <t>Total Sales Salary</t>
        </is>
      </c>
      <c r="B89" s="19" t="inlineStr">
        <is>
          <t>$165,000</t>
        </is>
      </c>
    </row>
    <row r="90">
      <c r="A90" s="19" t="inlineStr">
        <is>
          <t>Count</t>
        </is>
      </c>
      <c r="B90" s="19" t="inlineStr">
        <is>
          <t>3</t>
        </is>
      </c>
    </row>
    <row r="91">
      <c r="A91" s="19" t="inlineStr">
        <is>
          <t>Average</t>
        </is>
      </c>
      <c r="B91" s="19" t="inlineStr">
        <is>
          <t>$55,000</t>
        </is>
      </c>
    </row>
    <row r="93">
      <c r="A93" s="29" t="inlineStr">
        <is>
          <t>Explanation:</t>
        </is>
      </c>
    </row>
    <row r="94" ht="30" customHeight="1">
      <c r="A94" s="30" t="inlineStr">
        <is>
          <t>This combines SUMIF and COUNTIF to analyze a specific department. Total (165,000) ÷ Count (3) = Average (55,000). Shows: 3 Sales staff, totaling $165k salary, averaging $55k each.</t>
        </is>
      </c>
    </row>
    <row r="95">
      <c r="A95" s="29" t="inlineStr">
        <is>
          <t>Teacher's Comments:</t>
        </is>
      </c>
    </row>
    <row r="96" ht="50" customHeight="1">
      <c r="A96" s="30" t="inlineStr">
        <is>
          <t>• This demonstrates combining multiple functions for deeper analysis.
• HR Scenario: Use this to compare salary costs across departments. Which department has highest average salary?
• Alternative: Use AVERAGEIF(C:C, "Sales", D:D) to get average directly (simpler!).
• Pro tip: Create a summary table for all departments - compare HR vs Finance vs Sales costs.
• Dashboard idea: Use this formula pattern to build an HR analytics dashboard.
• Real-world use: Identify budget-heavy departments, plan compensation strategy, analyze fairness.</t>
        </is>
      </c>
    </row>
  </sheetData>
  <mergeCells count="31">
    <mergeCell ref="A9:H9"/>
    <mergeCell ref="A48:H48"/>
    <mergeCell ref="A77:H77"/>
    <mergeCell ref="A15:H15"/>
    <mergeCell ref="A64:H64"/>
    <mergeCell ref="A60:H60"/>
    <mergeCell ref="A11:H11"/>
    <mergeCell ref="A45:H45"/>
    <mergeCell ref="A1:H1"/>
    <mergeCell ref="A94:H94"/>
    <mergeCell ref="A79:H79"/>
    <mergeCell ref="A7:H7"/>
    <mergeCell ref="A25:H25"/>
    <mergeCell ref="A41:H41"/>
    <mergeCell ref="A66:H66"/>
    <mergeCell ref="A37:H37"/>
    <mergeCell ref="A27:H27"/>
    <mergeCell ref="A50:H50"/>
    <mergeCell ref="A56:H56"/>
    <mergeCell ref="A3:H3"/>
    <mergeCell ref="A33:H33"/>
    <mergeCell ref="A23:H23"/>
    <mergeCell ref="A17:H17"/>
    <mergeCell ref="A35:H35"/>
    <mergeCell ref="A43:H43"/>
    <mergeCell ref="A81:H81"/>
    <mergeCell ref="A96:H96"/>
    <mergeCell ref="A52:H52"/>
    <mergeCell ref="A19:H19"/>
    <mergeCell ref="A68:H68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2025-12-07T07:35:37Z</dcterms:created>
  <dcterms:modified xmlns:dcterms="http://purl.org/dc/terms/" xmlns:xsi="http://www.w3.org/2001/XMLSchema-instance" xsi:type="dcterms:W3CDTF">2025-12-07T07:37:02Z</dcterms:modified>
</cp:coreProperties>
</file>